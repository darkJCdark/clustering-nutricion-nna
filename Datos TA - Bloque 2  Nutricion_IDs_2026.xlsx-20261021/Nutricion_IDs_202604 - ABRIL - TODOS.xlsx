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Stef\pucp\2026-2\1INF03 - ADD\RSU_2026-2\Datos\fwdevaluacionnutricional\Procesados\"/>
    </mc:Choice>
  </mc:AlternateContent>
  <xr:revisionPtr revIDLastSave="0" documentId="13_ncr:1_{3706F9AA-C421-41B3-8335-DF399F18895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NFANTES (ABR)" sheetId="1" r:id="rId1"/>
    <sheet name="MIGUEL ECHENIQUE" sheetId="2" r:id="rId2"/>
    <sheet name="TOMAS VALLE" sheetId="3" r:id="rId3"/>
    <sheet name="MATOGROSO MUJERES" sheetId="4" r:id="rId4"/>
    <sheet name="MATOGROSO HOMBR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5" l="1"/>
  <c r="G28" i="5"/>
  <c r="G26" i="5"/>
  <c r="G25" i="5"/>
  <c r="G24" i="5"/>
  <c r="G23" i="5"/>
  <c r="G22" i="5"/>
  <c r="G18" i="5"/>
  <c r="G16" i="5"/>
  <c r="G15" i="5"/>
  <c r="G14" i="5"/>
  <c r="G13" i="5"/>
  <c r="G12" i="5"/>
  <c r="G11" i="5"/>
  <c r="G10" i="5"/>
  <c r="G9" i="5"/>
  <c r="G8" i="5"/>
  <c r="G7" i="5"/>
  <c r="G6" i="5"/>
  <c r="G5" i="5"/>
  <c r="G23" i="4"/>
  <c r="G21" i="4"/>
  <c r="G20" i="4"/>
  <c r="G19" i="4"/>
  <c r="G17" i="4"/>
  <c r="G15" i="4"/>
  <c r="G14" i="4"/>
  <c r="G12" i="4"/>
  <c r="G11" i="4"/>
  <c r="G10" i="4"/>
  <c r="G9" i="4"/>
  <c r="G8" i="4"/>
  <c r="G7" i="4"/>
  <c r="G6" i="4"/>
  <c r="G5" i="4"/>
  <c r="H29" i="3"/>
  <c r="H28" i="3"/>
  <c r="H27" i="3"/>
  <c r="H26" i="3"/>
  <c r="H25" i="3"/>
  <c r="H23" i="3"/>
  <c r="H22" i="3"/>
  <c r="H21" i="3"/>
  <c r="H20" i="3"/>
  <c r="H19" i="3"/>
  <c r="H17" i="3"/>
  <c r="H16" i="3"/>
  <c r="H15" i="3"/>
  <c r="H13" i="3"/>
  <c r="H12" i="3"/>
  <c r="H10" i="3"/>
  <c r="H9" i="3"/>
  <c r="H8" i="3"/>
  <c r="H6" i="3"/>
  <c r="H5" i="3"/>
  <c r="H23" i="2"/>
  <c r="H22" i="2"/>
  <c r="H21" i="2"/>
  <c r="H20" i="2"/>
  <c r="H19" i="2"/>
  <c r="H17" i="2"/>
  <c r="H16" i="2"/>
  <c r="H15" i="2"/>
  <c r="H14" i="2"/>
  <c r="H12" i="2"/>
  <c r="H11" i="2"/>
  <c r="H10" i="2"/>
  <c r="H8" i="2"/>
  <c r="H7" i="2"/>
  <c r="H6" i="2"/>
  <c r="H5" i="2"/>
  <c r="G38" i="1"/>
  <c r="G37" i="1"/>
  <c r="G36" i="1"/>
  <c r="G35" i="1"/>
  <c r="G33" i="1"/>
  <c r="G32" i="1"/>
  <c r="G31" i="1"/>
  <c r="G30" i="1"/>
  <c r="G29" i="1"/>
  <c r="G28" i="1"/>
  <c r="G27" i="1"/>
  <c r="G25" i="1"/>
  <c r="G24" i="1"/>
  <c r="G23" i="1"/>
  <c r="G22" i="1"/>
  <c r="G21" i="1"/>
  <c r="G20" i="1"/>
  <c r="G19" i="1"/>
  <c r="G17" i="1"/>
  <c r="G16" i="1"/>
  <c r="G15" i="1"/>
  <c r="G14" i="1"/>
  <c r="G13" i="1"/>
  <c r="G12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<sst xmlns="http://schemas.openxmlformats.org/spreadsheetml/2006/main" count="914" uniqueCount="279">
  <si>
    <t>HOGAR INFANTES: ABRIL</t>
  </si>
  <si>
    <t>DATOS</t>
  </si>
  <si>
    <t>Según percentiles OMS</t>
  </si>
  <si>
    <t>Según tabla de diagnóstico rápido INS</t>
  </si>
  <si>
    <t>N°</t>
  </si>
  <si>
    <t>APELLIDOS Y NOMBRES</t>
  </si>
  <si>
    <t>FECHA DE 
NACIMIENTO</t>
  </si>
  <si>
    <t>EDAD</t>
  </si>
  <si>
    <t>PESO (kg)</t>
  </si>
  <si>
    <t>TALLA (cm)</t>
  </si>
  <si>
    <t>IMC</t>
  </si>
  <si>
    <t>P/E</t>
  </si>
  <si>
    <t>T/E</t>
  </si>
  <si>
    <t>P/T</t>
  </si>
  <si>
    <t>CASA SAN RAFAEL</t>
  </si>
  <si>
    <t>PPA_FN_0117</t>
  </si>
  <si>
    <t>2 años 7 meses</t>
  </si>
  <si>
    <t>RIESGO SOBREPESO</t>
  </si>
  <si>
    <t>NORMAL</t>
  </si>
  <si>
    <t>*</t>
  </si>
  <si>
    <t>PPA_FN_0140</t>
  </si>
  <si>
    <t>1 año 8 meses</t>
  </si>
  <si>
    <t xml:space="preserve">SOBREPESO </t>
  </si>
  <si>
    <t xml:space="preserve">OBESIDAD  </t>
  </si>
  <si>
    <t>PPA_FN_0157</t>
  </si>
  <si>
    <t>1 año 3 mes</t>
  </si>
  <si>
    <t>PPA_FN_0153</t>
  </si>
  <si>
    <t>11 meses</t>
  </si>
  <si>
    <t xml:space="preserve">NORMAL </t>
  </si>
  <si>
    <t>PPA_FN_0146</t>
  </si>
  <si>
    <t>3 años 3 mes</t>
  </si>
  <si>
    <t xml:space="preserve">RIESGO TALLA BAJA </t>
  </si>
  <si>
    <t>SOBREPESO</t>
  </si>
  <si>
    <t>PPA_FN_0149</t>
  </si>
  <si>
    <t xml:space="preserve">CASA SAN MARTIN </t>
  </si>
  <si>
    <t>PPA_FN_0121</t>
  </si>
  <si>
    <t>4 años 5 meses</t>
  </si>
  <si>
    <t>RIESGO BAJO PESO</t>
  </si>
  <si>
    <t xml:space="preserve">TALLA BAJA SEVERA </t>
  </si>
  <si>
    <t xml:space="preserve">RIESGO BAJO PESO </t>
  </si>
  <si>
    <t>TALLA BAJA SEVERA</t>
  </si>
  <si>
    <t>PPA_FN_0004</t>
  </si>
  <si>
    <t>3 años 1 mes</t>
  </si>
  <si>
    <t>PPA_FN_0103</t>
  </si>
  <si>
    <t>2 año 11 mese</t>
  </si>
  <si>
    <t>PPA_FN_0128</t>
  </si>
  <si>
    <t>4 años 1 mes</t>
  </si>
  <si>
    <t>PPA_FN_0006</t>
  </si>
  <si>
    <t>3 años 8 meses</t>
  </si>
  <si>
    <t xml:space="preserve"> NORMAL</t>
  </si>
  <si>
    <t>PPA_FN_0115</t>
  </si>
  <si>
    <t>3 años 9 meses</t>
  </si>
  <si>
    <t>CASA SAN NICOLAS</t>
  </si>
  <si>
    <t>PPA_FN_0151</t>
  </si>
  <si>
    <t>4 años 10 meses</t>
  </si>
  <si>
    <t>PPA_FN_0152</t>
  </si>
  <si>
    <t>5 años 5 meses</t>
  </si>
  <si>
    <t xml:space="preserve">RIESGO SOBREPESO                                      </t>
  </si>
  <si>
    <t xml:space="preserve">RIESGO SOBREPESO </t>
  </si>
  <si>
    <t>PPA_FN_0120</t>
  </si>
  <si>
    <t>PPA_FN_0135</t>
  </si>
  <si>
    <t>4 años 4 meses</t>
  </si>
  <si>
    <t>PPA_FN_0124</t>
  </si>
  <si>
    <t>PPA_FN_0145</t>
  </si>
  <si>
    <t>5 años 6 meseS</t>
  </si>
  <si>
    <t>PPA_FN_0002</t>
  </si>
  <si>
    <t>CASA SAN VICENTE</t>
  </si>
  <si>
    <t>PPA_FN_0133</t>
  </si>
  <si>
    <t>6 años 9 mese</t>
  </si>
  <si>
    <t>PPA_FN_0106</t>
  </si>
  <si>
    <t xml:space="preserve">6 años </t>
  </si>
  <si>
    <t>PPA_FN_0105</t>
  </si>
  <si>
    <t>6 años</t>
  </si>
  <si>
    <t>PPA_FN_0127</t>
  </si>
  <si>
    <t>6 años 8 meses</t>
  </si>
  <si>
    <t xml:space="preserve">TALLA BAJA </t>
  </si>
  <si>
    <t>PPA_FN_0010</t>
  </si>
  <si>
    <t>6 años 4 mes</t>
  </si>
  <si>
    <t>PPA_FN_0125</t>
  </si>
  <si>
    <t>6 años 4 meses</t>
  </si>
  <si>
    <t>PPA_FN_0008</t>
  </si>
  <si>
    <t>7 años 2  meses</t>
  </si>
  <si>
    <t>CASA SANTA ROSA</t>
  </si>
  <si>
    <t>PPA_FN_0143</t>
  </si>
  <si>
    <t>5 años 1 mes</t>
  </si>
  <si>
    <t>PPA_FN_0104</t>
  </si>
  <si>
    <t>6 años 3 meses</t>
  </si>
  <si>
    <t>PPA_FN_0009</t>
  </si>
  <si>
    <t xml:space="preserve">5 años 10 meses </t>
  </si>
  <si>
    <t>PPA_FN_0011</t>
  </si>
  <si>
    <t xml:space="preserve">6 años 1 meses </t>
  </si>
  <si>
    <t xml:space="preserve">HOGAR: MIGUEL ECHENIQUE- ABRIL </t>
  </si>
  <si>
    <t>Según tabla de diagnostico rápido</t>
  </si>
  <si>
    <t>PA</t>
  </si>
  <si>
    <t>IMC/E</t>
  </si>
  <si>
    <t>CASA SANTA ANA</t>
  </si>
  <si>
    <t>PPA_FN_0134</t>
  </si>
  <si>
    <t>7 año 5 meses</t>
  </si>
  <si>
    <t>RIESGO TALLA BAJA</t>
  </si>
  <si>
    <t>PPA_FN_0014</t>
  </si>
  <si>
    <t>7 años  2 meses</t>
  </si>
  <si>
    <t>PPA_FN_0013</t>
  </si>
  <si>
    <t xml:space="preserve">7 años 2 meses </t>
  </si>
  <si>
    <t xml:space="preserve">NORMAL  </t>
  </si>
  <si>
    <t>PPA_FN_0150</t>
  </si>
  <si>
    <t>7 años 4 meses</t>
  </si>
  <si>
    <t>TALLA BAJA</t>
  </si>
  <si>
    <t>CASA VIRGEN DEL PILAR</t>
  </si>
  <si>
    <t>PPA_FN_0036</t>
  </si>
  <si>
    <t>11 años 5 meses</t>
  </si>
  <si>
    <t>PPA_FN_0035</t>
  </si>
  <si>
    <t xml:space="preserve">RIESGO TALLA BAJA  </t>
  </si>
  <si>
    <t>PPA_FN_0024</t>
  </si>
  <si>
    <t xml:space="preserve">8 años </t>
  </si>
  <si>
    <t>CASA SAGRADO CORAZON</t>
  </si>
  <si>
    <t>PPA_FN_0033</t>
  </si>
  <si>
    <t xml:space="preserve">  12/04/2014</t>
  </si>
  <si>
    <t>12 años</t>
  </si>
  <si>
    <t>PPA_FN_0034</t>
  </si>
  <si>
    <t>PPA_FN_0054</t>
  </si>
  <si>
    <t>28 años 5 meses</t>
  </si>
  <si>
    <t>OBESIDAD III</t>
  </si>
  <si>
    <t>PPA_FN_0042</t>
  </si>
  <si>
    <t>14 años 4 mese</t>
  </si>
  <si>
    <t>CASA MEDALLA MILAGROSA</t>
  </si>
  <si>
    <t>PPA_FN_0026</t>
  </si>
  <si>
    <t>17 años 7 meses</t>
  </si>
  <si>
    <t>PPA_FN_0038</t>
  </si>
  <si>
    <t>15 años 8 meses</t>
  </si>
  <si>
    <t>PPA_FN_0041</t>
  </si>
  <si>
    <t xml:space="preserve">16 años 6 meses  </t>
  </si>
  <si>
    <t>PPA_FN_0046</t>
  </si>
  <si>
    <t>17 años 1 mes</t>
  </si>
  <si>
    <t>PPA_FN_0030</t>
  </si>
  <si>
    <t>21/11/2012</t>
  </si>
  <si>
    <t>13 años 4 meses</t>
  </si>
  <si>
    <t>OBESIDAD</t>
  </si>
  <si>
    <t xml:space="preserve">OBESIDAD </t>
  </si>
  <si>
    <t xml:space="preserve">HOGAR TOMAS VALLE : ABRIL  </t>
  </si>
  <si>
    <t>Según percentil</t>
  </si>
  <si>
    <t xml:space="preserve">Según tabla de diagnóstico </t>
  </si>
  <si>
    <t>P.A</t>
  </si>
  <si>
    <t>CASA 1</t>
  </si>
  <si>
    <t>PPA_FN_0012</t>
  </si>
  <si>
    <t>7 años 5 meses</t>
  </si>
  <si>
    <t>PPA_FN_0021</t>
  </si>
  <si>
    <t>7 años 11 meses</t>
  </si>
  <si>
    <t>CASA 4</t>
  </si>
  <si>
    <t>PPA_FN_0018</t>
  </si>
  <si>
    <t>7 años 7 meses</t>
  </si>
  <si>
    <t xml:space="preserve">BAJO PESO </t>
  </si>
  <si>
    <t>PPA_FN_0107</t>
  </si>
  <si>
    <t>7 años 7meses</t>
  </si>
  <si>
    <t>PPA_FN_0131</t>
  </si>
  <si>
    <t>8 años</t>
  </si>
  <si>
    <t>CASA 5</t>
  </si>
  <si>
    <t>PPA_FN_0141</t>
  </si>
  <si>
    <t>11 años 11 meses</t>
  </si>
  <si>
    <t>PPA_FN_0132</t>
  </si>
  <si>
    <t xml:space="preserve">12 años 2 meses </t>
  </si>
  <si>
    <t>CASA 6</t>
  </si>
  <si>
    <t>PPA_FN_0082</t>
  </si>
  <si>
    <t>13 años 8 meses</t>
  </si>
  <si>
    <t>PPA_FN_0138</t>
  </si>
  <si>
    <t>9 años 1 mes</t>
  </si>
  <si>
    <t>PPA_FN_0142</t>
  </si>
  <si>
    <t>13 años 3  mes</t>
  </si>
  <si>
    <t xml:space="preserve">TALLA BAJA SEVERA  </t>
  </si>
  <si>
    <t>CASA 7</t>
  </si>
  <si>
    <t>PPA_FN_0114</t>
  </si>
  <si>
    <t>14 años 7 meses</t>
  </si>
  <si>
    <t>PPA_FN_0079</t>
  </si>
  <si>
    <t xml:space="preserve">15 años 2 meses </t>
  </si>
  <si>
    <t>PPA_FN_0101</t>
  </si>
  <si>
    <t>13 años 11  meses</t>
  </si>
  <si>
    <t>PPA_FN_0094</t>
  </si>
  <si>
    <t>16 años 6 meses</t>
  </si>
  <si>
    <t>PPA_FN_0100</t>
  </si>
  <si>
    <t>13 años  9 meses</t>
  </si>
  <si>
    <t>CASA 8</t>
  </si>
  <si>
    <t>PPA_FN_0071</t>
  </si>
  <si>
    <t>16 años 3 mese</t>
  </si>
  <si>
    <t>RIESGO DE SOBREPESO</t>
  </si>
  <si>
    <t>PPA_FN_0085</t>
  </si>
  <si>
    <t>16 años 8 meses</t>
  </si>
  <si>
    <t>PPA_FN_0089</t>
  </si>
  <si>
    <t>17 años 5 meses</t>
  </si>
  <si>
    <t>PPA_FN_0102</t>
  </si>
  <si>
    <t>15 años 2meses</t>
  </si>
  <si>
    <t>PPA_FN_0118</t>
  </si>
  <si>
    <t>14 años 4 meses</t>
  </si>
  <si>
    <t xml:space="preserve">HOGAR MATOGROSO MUJERES: ABRIL </t>
  </si>
  <si>
    <t>Según percentiles</t>
  </si>
  <si>
    <t>Según tabla de diagnostico rapido</t>
  </si>
  <si>
    <t xml:space="preserve">CASA PEQUEÑA ALEGRIA </t>
  </si>
  <si>
    <t>PPA_FN_0022</t>
  </si>
  <si>
    <t>8 años 9 meses</t>
  </si>
  <si>
    <t>PPA_FN_0023</t>
  </si>
  <si>
    <t>7 años 6 meses</t>
  </si>
  <si>
    <t>PPA_FN_0108</t>
  </si>
  <si>
    <t>PPA_FN_0020</t>
  </si>
  <si>
    <t>8 años 4  mes</t>
  </si>
  <si>
    <t>PPA_FN_0136</t>
  </si>
  <si>
    <t>9 años 2 meses</t>
  </si>
  <si>
    <t>PPA_FN_0051</t>
  </si>
  <si>
    <t>9 años 6 meses</t>
  </si>
  <si>
    <t>PPA_FN_0025</t>
  </si>
  <si>
    <t>7 años 3 meses</t>
  </si>
  <si>
    <t>PPA_FN_0056</t>
  </si>
  <si>
    <t>9 años 8 meses</t>
  </si>
  <si>
    <t>CASA AMOR</t>
  </si>
  <si>
    <t>PPA_FN_0028</t>
  </si>
  <si>
    <t>11 años 2 meses</t>
  </si>
  <si>
    <t>PPA_FN_0031</t>
  </si>
  <si>
    <t>10 años 6 meses</t>
  </si>
  <si>
    <t>PPA_FN_0043</t>
  </si>
  <si>
    <t>12 años 7 meses</t>
  </si>
  <si>
    <t xml:space="preserve">PROVINCIA </t>
  </si>
  <si>
    <t>PPA_FN_0049</t>
  </si>
  <si>
    <t>10 años 5 meses</t>
  </si>
  <si>
    <t>PPA_FN_0137</t>
  </si>
  <si>
    <t>12 años 8 meses</t>
  </si>
  <si>
    <t>PROVINCIA</t>
  </si>
  <si>
    <t>PPA_FN_0055</t>
  </si>
  <si>
    <t>PPA_FN_0058</t>
  </si>
  <si>
    <t xml:space="preserve">14 años </t>
  </si>
  <si>
    <t>PPA_FN_0060</t>
  </si>
  <si>
    <t>11 años</t>
  </si>
  <si>
    <t>ALTA</t>
  </si>
  <si>
    <t>PPA_FN_0061</t>
  </si>
  <si>
    <t>12 años 3 meses</t>
  </si>
  <si>
    <t>PPA_FN_0116</t>
  </si>
  <si>
    <t>HOGAR MATOGROSO HOMBRES: ABRIL</t>
  </si>
  <si>
    <t>CASA BONDAD</t>
  </si>
  <si>
    <t>PPA_FN_0065</t>
  </si>
  <si>
    <t>PPA_FN_0017</t>
  </si>
  <si>
    <t>PPA_FN_0066</t>
  </si>
  <si>
    <t>9 años 7 meses</t>
  </si>
  <si>
    <t>PPA_FN_0019</t>
  </si>
  <si>
    <t>PPA_FN_0156</t>
  </si>
  <si>
    <t xml:space="preserve">9 años </t>
  </si>
  <si>
    <t>PPA_FN_0123</t>
  </si>
  <si>
    <t>8 años 1 mes</t>
  </si>
  <si>
    <t>PPA_FN_0084</t>
  </si>
  <si>
    <t>10 años 3 meses</t>
  </si>
  <si>
    <t>PPA_FN_0091</t>
  </si>
  <si>
    <t>9 años 3 meses</t>
  </si>
  <si>
    <t>PPA_FN_0015</t>
  </si>
  <si>
    <t>7 años 2 meses</t>
  </si>
  <si>
    <t>PPA_FN_0016</t>
  </si>
  <si>
    <t>PPA_FN_0147</t>
  </si>
  <si>
    <t>8 años 3 meses</t>
  </si>
  <si>
    <t>PPA_FN_0148</t>
  </si>
  <si>
    <t>10 años 9 meses</t>
  </si>
  <si>
    <t>CASA PACIENCIA</t>
  </si>
  <si>
    <t>PPA_FN_0113</t>
  </si>
  <si>
    <t>PPA_FN_0068</t>
  </si>
  <si>
    <t>12 años 4 meses</t>
  </si>
  <si>
    <t>PPA_FN_0069</t>
  </si>
  <si>
    <t>13 años 2 meses</t>
  </si>
  <si>
    <t>PPA_FN_0077</t>
  </si>
  <si>
    <t>12 años 2 meses</t>
  </si>
  <si>
    <t>PPA_FN_0076</t>
  </si>
  <si>
    <t>ALTO</t>
  </si>
  <si>
    <t>PPA_FN_0119</t>
  </si>
  <si>
    <t>10 años 10 meses</t>
  </si>
  <si>
    <t>PPA_FN_0073</t>
  </si>
  <si>
    <t>PPA_FN_0081</t>
  </si>
  <si>
    <t>PPA_FN_0122</t>
  </si>
  <si>
    <t>11 años 3 meses</t>
  </si>
  <si>
    <t>PPA_FN_0086</t>
  </si>
  <si>
    <t>12 años 6 meses</t>
  </si>
  <si>
    <t>PPA_FN_0092</t>
  </si>
  <si>
    <t>10 años 2 meses</t>
  </si>
  <si>
    <t>CASA ADOLESCENTES VARONES PROVINCIA</t>
  </si>
  <si>
    <t>PPA_FN_0080</t>
  </si>
  <si>
    <t>14 años 10 meses</t>
  </si>
  <si>
    <t>NO SE ENCUENTRAN PARA REALIZAR PESO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</si>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</sst>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80A]dd/mm/yyyy"/>
    <numFmt numFmtId="165" formatCode="0.0"/>
  </numFmts>
  <fonts count="2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Calibri"/>
      <family val="2"/>
      <scheme val="minor"/>
    </font>
    <font>
      <sz val="6"/>
      <color theme="1"/>
      <name val="Calibri"/>
      <family val="2"/>
    </font>
    <font>
      <sz val="6"/>
      <color theme="1"/>
      <name val="Calibri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6"/>
      <name val="Calibri"/>
      <family val="2"/>
    </font>
    <font>
      <sz val="7"/>
      <color theme="1"/>
      <name val="Calibri"/>
      <family val="2"/>
    </font>
    <font>
      <sz val="8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6"/>
      <color rgb="FF000000"/>
      <name val="Arial"/>
      <family val="2"/>
    </font>
    <font>
      <b/>
      <sz val="6"/>
      <color theme="1"/>
      <name val="Arial"/>
      <family val="2"/>
    </font>
    <font>
      <sz val="6"/>
      <name val="Arial"/>
      <family val="2"/>
    </font>
    <font>
      <sz val="7"/>
      <color rgb="FF000000"/>
      <name val="Arial"/>
      <family val="2"/>
    </font>
    <font>
      <sz val="7"/>
      <color theme="1"/>
      <name val="Arial"/>
      <family val="2"/>
    </font>
    <font>
      <sz val="9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rgb="FFCCCCFF"/>
        <bgColor rgb="FFCCCCFF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rgb="FFB4C6E7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3676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198">
    <xf numFmtId="0" fontId="0" fillId="0" borderId="0" xfId="0"/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2" borderId="0" xfId="0" applyFill="1"/>
    <xf numFmtId="0" fontId="3" fillId="0" borderId="17" xfId="0" applyFont="1" applyBorder="1" applyAlignment="1">
      <alignment horizontal="center" wrapText="1"/>
    </xf>
    <xf numFmtId="0" fontId="0" fillId="0" borderId="17" xfId="0" applyBorder="1"/>
    <xf numFmtId="0" fontId="3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0" fillId="6" borderId="0" xfId="0" applyFill="1"/>
    <xf numFmtId="0" fontId="3" fillId="0" borderId="17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7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7" fillId="10" borderId="17" xfId="0" applyFont="1" applyFill="1" applyBorder="1" applyAlignment="1">
      <alignment horizontal="center" wrapText="1"/>
    </xf>
    <xf numFmtId="2" fontId="5" fillId="0" borderId="17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1" fontId="3" fillId="0" borderId="17" xfId="0" applyNumberFormat="1" applyFont="1" applyBorder="1" applyAlignment="1">
      <alignment horizontal="center" vertical="center" wrapText="1"/>
    </xf>
    <xf numFmtId="1" fontId="3" fillId="0" borderId="17" xfId="1" applyNumberFormat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3" fillId="0" borderId="28" xfId="0" applyFont="1" applyBorder="1" applyAlignment="1">
      <alignment horizontal="center" vertical="center" wrapText="1"/>
    </xf>
    <xf numFmtId="0" fontId="0" fillId="0" borderId="0" xfId="0" applyProtection="1">
      <protection locked="0"/>
    </xf>
    <xf numFmtId="0" fontId="6" fillId="8" borderId="2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11" fillId="8" borderId="28" xfId="0" applyFont="1" applyFill="1" applyBorder="1" applyAlignment="1" applyProtection="1">
      <alignment horizontal="center" vertical="center" wrapText="1"/>
      <protection locked="0"/>
    </xf>
    <xf numFmtId="0" fontId="7" fillId="16" borderId="17" xfId="0" applyFont="1" applyFill="1" applyBorder="1" applyAlignment="1">
      <alignment horizontal="center" vertical="center" wrapText="1"/>
    </xf>
    <xf numFmtId="0" fontId="3" fillId="15" borderId="34" xfId="0" applyFont="1" applyFill="1" applyBorder="1" applyAlignment="1">
      <alignment horizontal="center" vertical="center" wrapText="1"/>
    </xf>
    <xf numFmtId="2" fontId="3" fillId="0" borderId="17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/>
    </xf>
    <xf numFmtId="0" fontId="7" fillId="6" borderId="17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 wrapText="1"/>
    </xf>
    <xf numFmtId="2" fontId="3" fillId="4" borderId="7" xfId="0" applyNumberFormat="1" applyFont="1" applyFill="1" applyBorder="1" applyAlignment="1">
      <alignment horizontal="center" vertical="center" wrapText="1"/>
    </xf>
    <xf numFmtId="2" fontId="3" fillId="4" borderId="8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3" fillId="0" borderId="0" xfId="0" applyFont="1"/>
    <xf numFmtId="0" fontId="7" fillId="8" borderId="17" xfId="0" applyFont="1" applyFill="1" applyBorder="1" applyAlignment="1">
      <alignment horizontal="center" vertical="center" wrapText="1"/>
    </xf>
    <xf numFmtId="14" fontId="13" fillId="0" borderId="17" xfId="0" applyNumberFormat="1" applyFont="1" applyBorder="1" applyAlignment="1">
      <alignment horizontal="center" vertical="center" wrapText="1"/>
    </xf>
    <xf numFmtId="164" fontId="13" fillId="0" borderId="17" xfId="0" applyNumberFormat="1" applyFont="1" applyBorder="1" applyAlignment="1">
      <alignment horizontal="center" vertical="center"/>
    </xf>
    <xf numFmtId="164" fontId="17" fillId="0" borderId="17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3" fillId="6" borderId="0" xfId="0" applyFont="1" applyFill="1"/>
    <xf numFmtId="0" fontId="7" fillId="8" borderId="28" xfId="0" applyFont="1" applyFill="1" applyBorder="1" applyAlignment="1" applyProtection="1">
      <alignment horizontal="center" vertical="center" wrapText="1"/>
      <protection locked="0"/>
    </xf>
    <xf numFmtId="164" fontId="13" fillId="0" borderId="25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 wrapText="1"/>
    </xf>
    <xf numFmtId="0" fontId="7" fillId="8" borderId="29" xfId="0" applyFont="1" applyFill="1" applyBorder="1" applyAlignment="1" applyProtection="1">
      <alignment horizontal="center" vertical="center" wrapText="1"/>
      <protection locked="0"/>
    </xf>
    <xf numFmtId="0" fontId="10" fillId="4" borderId="29" xfId="0" applyFont="1" applyFill="1" applyBorder="1" applyAlignment="1" applyProtection="1">
      <alignment horizontal="center" vertical="center" wrapText="1"/>
      <protection locked="0"/>
    </xf>
    <xf numFmtId="0" fontId="10" fillId="4" borderId="28" xfId="0" applyFont="1" applyFill="1" applyBorder="1" applyAlignment="1" applyProtection="1">
      <alignment horizontal="center" vertical="center" wrapText="1"/>
      <protection locked="0"/>
    </xf>
    <xf numFmtId="165" fontId="5" fillId="0" borderId="25" xfId="0" applyNumberFormat="1" applyFont="1" applyBorder="1" applyAlignment="1">
      <alignment horizontal="center" vertical="center" wrapText="1"/>
    </xf>
    <xf numFmtId="165" fontId="5" fillId="0" borderId="17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7" fillId="10" borderId="17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textRotation="90" wrapText="1"/>
    </xf>
    <xf numFmtId="0" fontId="13" fillId="0" borderId="25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 wrapText="1"/>
    </xf>
    <xf numFmtId="0" fontId="3" fillId="18" borderId="17" xfId="0" applyFont="1" applyFill="1" applyBorder="1" applyAlignment="1">
      <alignment horizontal="center" vertical="center" wrapText="1"/>
    </xf>
    <xf numFmtId="0" fontId="7" fillId="18" borderId="17" xfId="0" applyFont="1" applyFill="1" applyBorder="1" applyAlignment="1">
      <alignment horizontal="center" vertical="center" wrapText="1"/>
    </xf>
    <xf numFmtId="0" fontId="7" fillId="16" borderId="17" xfId="0" applyFont="1" applyFill="1" applyBorder="1" applyAlignment="1">
      <alignment horizontal="center" vertical="center"/>
    </xf>
    <xf numFmtId="0" fontId="7" fillId="19" borderId="17" xfId="0" applyFont="1" applyFill="1" applyBorder="1" applyAlignment="1">
      <alignment horizontal="center" vertical="center" wrapText="1"/>
    </xf>
    <xf numFmtId="0" fontId="7" fillId="19" borderId="17" xfId="0" applyFont="1" applyFill="1" applyBorder="1" applyAlignment="1">
      <alignment horizontal="center" vertical="center"/>
    </xf>
    <xf numFmtId="0" fontId="7" fillId="20" borderId="17" xfId="0" applyFont="1" applyFill="1" applyBorder="1" applyAlignment="1">
      <alignment horizontal="center" vertical="center" wrapText="1"/>
    </xf>
    <xf numFmtId="0" fontId="7" fillId="14" borderId="17" xfId="0" applyFont="1" applyFill="1" applyBorder="1" applyAlignment="1">
      <alignment horizontal="center" vertical="center" wrapText="1"/>
    </xf>
    <xf numFmtId="0" fontId="17" fillId="0" borderId="28" xfId="0" applyFont="1" applyBorder="1" applyAlignment="1">
      <alignment horizontal="left" vertical="center"/>
    </xf>
    <xf numFmtId="164" fontId="17" fillId="0" borderId="28" xfId="0" applyNumberFormat="1" applyFont="1" applyBorder="1" applyAlignment="1">
      <alignment horizontal="center" vertical="center"/>
    </xf>
    <xf numFmtId="0" fontId="18" fillId="2" borderId="0" xfId="0" applyFont="1" applyFill="1" applyAlignment="1" applyProtection="1">
      <alignment horizontal="center" vertical="center" wrapText="1"/>
      <protection locked="0"/>
    </xf>
    <xf numFmtId="0" fontId="19" fillId="0" borderId="17" xfId="0" applyFont="1" applyBorder="1" applyAlignment="1">
      <alignment horizontal="left" vertical="center"/>
    </xf>
    <xf numFmtId="164" fontId="19" fillId="0" borderId="17" xfId="0" applyNumberFormat="1" applyFont="1" applyBorder="1" applyAlignment="1">
      <alignment horizontal="center" vertical="center"/>
    </xf>
    <xf numFmtId="0" fontId="17" fillId="6" borderId="17" xfId="0" applyFont="1" applyFill="1" applyBorder="1" applyAlignment="1">
      <alignment horizontal="left" vertical="center"/>
    </xf>
    <xf numFmtId="164" fontId="13" fillId="6" borderId="17" xfId="0" applyNumberFormat="1" applyFont="1" applyFill="1" applyBorder="1" applyAlignment="1">
      <alignment horizontal="center" vertical="center"/>
    </xf>
    <xf numFmtId="2" fontId="3" fillId="0" borderId="0" xfId="0" applyNumberFormat="1" applyFont="1"/>
    <xf numFmtId="0" fontId="7" fillId="13" borderId="17" xfId="0" applyFont="1" applyFill="1" applyBorder="1" applyAlignment="1">
      <alignment horizontal="center" vertical="center" wrapText="1"/>
    </xf>
    <xf numFmtId="0" fontId="7" fillId="23" borderId="17" xfId="0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" fillId="24" borderId="24" xfId="0" applyFont="1" applyFill="1" applyBorder="1" applyAlignment="1">
      <alignment vertical="center" wrapText="1"/>
    </xf>
    <xf numFmtId="0" fontId="1" fillId="24" borderId="32" xfId="0" applyFont="1" applyFill="1" applyBorder="1" applyAlignment="1">
      <alignment vertical="center" wrapText="1"/>
    </xf>
    <xf numFmtId="2" fontId="5" fillId="0" borderId="28" xfId="0" applyNumberFormat="1" applyFont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3" fillId="20" borderId="17" xfId="0" applyFont="1" applyFill="1" applyBorder="1" applyAlignment="1">
      <alignment horizontal="center" vertical="center" wrapText="1"/>
    </xf>
    <xf numFmtId="0" fontId="3" fillId="6" borderId="34" xfId="0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2" fontId="5" fillId="0" borderId="17" xfId="1" applyNumberFormat="1" applyFont="1" applyBorder="1" applyAlignment="1">
      <alignment horizontal="center" vertical="center" wrapText="1"/>
    </xf>
    <xf numFmtId="0" fontId="3" fillId="25" borderId="17" xfId="0" applyFont="1" applyFill="1" applyBorder="1" applyAlignment="1">
      <alignment horizontal="center" vertical="center" wrapText="1"/>
    </xf>
    <xf numFmtId="0" fontId="3" fillId="26" borderId="17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left" vertical="center" wrapText="1"/>
    </xf>
    <xf numFmtId="14" fontId="20" fillId="0" borderId="17" xfId="0" applyNumberFormat="1" applyFont="1" applyBorder="1" applyAlignment="1">
      <alignment horizontal="center" vertical="center" wrapText="1"/>
    </xf>
    <xf numFmtId="0" fontId="21" fillId="0" borderId="17" xfId="0" applyFont="1" applyBorder="1" applyAlignment="1">
      <alignment horizontal="left" vertical="center" wrapText="1"/>
    </xf>
    <xf numFmtId="14" fontId="21" fillId="0" borderId="17" xfId="0" applyNumberFormat="1" applyFont="1" applyBorder="1" applyAlignment="1">
      <alignment horizontal="center" vertical="center" wrapText="1"/>
    </xf>
    <xf numFmtId="0" fontId="20" fillId="0" borderId="17" xfId="0" applyFont="1" applyBorder="1" applyAlignment="1">
      <alignment horizontal="left" vertical="center"/>
    </xf>
    <xf numFmtId="164" fontId="20" fillId="0" borderId="17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left" vertical="center"/>
    </xf>
    <xf numFmtId="164" fontId="21" fillId="0" borderId="17" xfId="0" applyNumberFormat="1" applyFont="1" applyBorder="1" applyAlignment="1">
      <alignment horizontal="center" vertical="center"/>
    </xf>
    <xf numFmtId="0" fontId="5" fillId="16" borderId="17" xfId="0" applyFont="1" applyFill="1" applyBorder="1" applyAlignment="1">
      <alignment horizontal="center" vertical="center" wrapText="1"/>
    </xf>
    <xf numFmtId="0" fontId="7" fillId="25" borderId="17" xfId="0" applyFont="1" applyFill="1" applyBorder="1" applyAlignment="1">
      <alignment horizontal="center" vertical="center" wrapText="1"/>
    </xf>
    <xf numFmtId="0" fontId="7" fillId="26" borderId="17" xfId="0" applyFont="1" applyFill="1" applyBorder="1" applyAlignment="1">
      <alignment horizontal="center" vertical="center" wrapText="1"/>
    </xf>
    <xf numFmtId="0" fontId="3" fillId="17" borderId="17" xfId="0" applyFont="1" applyFill="1" applyBorder="1" applyAlignment="1">
      <alignment horizontal="center" vertical="center" wrapText="1"/>
    </xf>
    <xf numFmtId="0" fontId="7" fillId="17" borderId="17" xfId="0" applyFont="1" applyFill="1" applyBorder="1" applyAlignment="1">
      <alignment horizontal="center" vertical="center" wrapText="1"/>
    </xf>
    <xf numFmtId="0" fontId="7" fillId="27" borderId="17" xfId="0" applyFont="1" applyFill="1" applyBorder="1" applyAlignment="1">
      <alignment horizontal="center" vertical="center" wrapText="1"/>
    </xf>
    <xf numFmtId="0" fontId="7" fillId="28" borderId="17" xfId="0" applyFont="1" applyFill="1" applyBorder="1" applyAlignment="1">
      <alignment horizontal="center" vertical="center" wrapText="1"/>
    </xf>
    <xf numFmtId="0" fontId="7" fillId="29" borderId="17" xfId="0" applyFont="1" applyFill="1" applyBorder="1" applyAlignment="1">
      <alignment horizontal="center" vertical="center" wrapText="1"/>
    </xf>
    <xf numFmtId="0" fontId="13" fillId="16" borderId="17" xfId="0" applyFont="1" applyFill="1" applyBorder="1" applyAlignment="1">
      <alignment horizontal="center" vertical="center" wrapText="1"/>
    </xf>
    <xf numFmtId="0" fontId="13" fillId="23" borderId="17" xfId="0" applyFont="1" applyFill="1" applyBorder="1" applyAlignment="1">
      <alignment horizontal="center" vertical="center" wrapText="1"/>
    </xf>
    <xf numFmtId="0" fontId="13" fillId="14" borderId="17" xfId="0" applyFont="1" applyFill="1" applyBorder="1" applyAlignment="1">
      <alignment horizontal="center" vertical="center" wrapText="1"/>
    </xf>
    <xf numFmtId="0" fontId="13" fillId="21" borderId="17" xfId="0" applyFont="1" applyFill="1" applyBorder="1" applyAlignment="1">
      <alignment horizontal="center" vertical="center" wrapText="1"/>
    </xf>
    <xf numFmtId="0" fontId="13" fillId="28" borderId="17" xfId="0" applyFont="1" applyFill="1" applyBorder="1" applyAlignment="1">
      <alignment horizontal="center" vertical="center" wrapText="1"/>
    </xf>
    <xf numFmtId="0" fontId="3" fillId="16" borderId="17" xfId="0" applyFont="1" applyFill="1" applyBorder="1" applyAlignment="1">
      <alignment horizontal="center" vertical="center" wrapText="1"/>
    </xf>
    <xf numFmtId="0" fontId="3" fillId="28" borderId="17" xfId="0" applyFont="1" applyFill="1" applyBorder="1" applyAlignment="1">
      <alignment horizontal="center" vertical="center" wrapText="1"/>
    </xf>
    <xf numFmtId="0" fontId="3" fillId="13" borderId="17" xfId="0" applyFont="1" applyFill="1" applyBorder="1" applyAlignment="1">
      <alignment horizontal="center" vertical="center" wrapText="1"/>
    </xf>
    <xf numFmtId="0" fontId="5" fillId="28" borderId="17" xfId="0" applyFont="1" applyFill="1" applyBorder="1" applyAlignment="1">
      <alignment horizontal="center" vertical="center" wrapText="1"/>
    </xf>
    <xf numFmtId="0" fontId="5" fillId="20" borderId="17" xfId="0" applyFont="1" applyFill="1" applyBorder="1" applyAlignment="1">
      <alignment horizontal="center" vertical="center" wrapText="1"/>
    </xf>
    <xf numFmtId="0" fontId="3" fillId="22" borderId="17" xfId="0" applyFont="1" applyFill="1" applyBorder="1" applyAlignment="1">
      <alignment horizontal="center" vertical="center" wrapText="1"/>
    </xf>
    <xf numFmtId="0" fontId="5" fillId="26" borderId="17" xfId="0" applyFont="1" applyFill="1" applyBorder="1" applyAlignment="1">
      <alignment horizontal="center" vertical="center" wrapText="1"/>
    </xf>
    <xf numFmtId="0" fontId="3" fillId="30" borderId="17" xfId="0" applyFont="1" applyFill="1" applyBorder="1" applyAlignment="1">
      <alignment horizontal="center" vertical="center" wrapText="1"/>
    </xf>
    <xf numFmtId="0" fontId="3" fillId="29" borderId="17" xfId="0" applyFont="1" applyFill="1" applyBorder="1" applyAlignment="1">
      <alignment horizontal="center" vertical="center" wrapText="1"/>
    </xf>
    <xf numFmtId="0" fontId="5" fillId="14" borderId="17" xfId="0" applyFont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left" vertical="center" wrapText="1"/>
    </xf>
    <xf numFmtId="0" fontId="13" fillId="6" borderId="17" xfId="0" applyFont="1" applyFill="1" applyBorder="1" applyAlignment="1">
      <alignment horizontal="left" vertical="center"/>
    </xf>
    <xf numFmtId="1" fontId="3" fillId="6" borderId="17" xfId="1" applyNumberFormat="1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19" xfId="0" applyBorder="1"/>
    <xf numFmtId="0" fontId="1" fillId="5" borderId="39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6" xfId="0" applyBorder="1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2" fillId="17" borderId="38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2" fillId="3" borderId="38" xfId="0" applyFont="1" applyFill="1" applyBorder="1" applyAlignment="1" applyProtection="1">
      <alignment horizontal="center" vertical="center" wrapText="1"/>
      <protection locked="0"/>
    </xf>
    <xf numFmtId="0" fontId="9" fillId="9" borderId="17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/>
    </xf>
    <xf numFmtId="0" fontId="0" fillId="0" borderId="35" xfId="0" applyBorder="1"/>
    <xf numFmtId="0" fontId="7" fillId="17" borderId="22" xfId="0" applyFont="1" applyFill="1" applyBorder="1" applyAlignment="1">
      <alignment horizontal="center" vertical="center"/>
    </xf>
    <xf numFmtId="0" fontId="0" fillId="0" borderId="30" xfId="0" applyBorder="1"/>
    <xf numFmtId="0" fontId="7" fillId="7" borderId="40" xfId="0" applyFont="1" applyFill="1" applyBorder="1" applyAlignment="1">
      <alignment horizontal="center" vertical="center"/>
    </xf>
    <xf numFmtId="0" fontId="0" fillId="0" borderId="26" xfId="0" applyBorder="1"/>
    <xf numFmtId="0" fontId="7" fillId="17" borderId="30" xfId="0" applyFont="1" applyFill="1" applyBorder="1" applyAlignment="1">
      <alignment horizontal="center" vertical="center"/>
    </xf>
    <xf numFmtId="0" fontId="8" fillId="9" borderId="25" xfId="0" applyFont="1" applyFill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8" fillId="12" borderId="25" xfId="0" applyFont="1" applyFill="1" applyBorder="1" applyAlignment="1">
      <alignment horizontal="center" vertical="center"/>
    </xf>
    <xf numFmtId="0" fontId="8" fillId="9" borderId="29" xfId="0" applyFont="1" applyFill="1" applyBorder="1" applyAlignment="1">
      <alignment horizontal="center" vertical="center"/>
    </xf>
    <xf numFmtId="0" fontId="3" fillId="0" borderId="0" xfId="0" applyFont="1"/>
    <xf numFmtId="0" fontId="0" fillId="0" borderId="41" xfId="0" applyBorder="1"/>
    <xf numFmtId="0" fontId="7" fillId="17" borderId="19" xfId="0" applyFont="1" applyFill="1" applyBorder="1" applyAlignment="1" applyProtection="1">
      <alignment horizontal="center" vertical="center" wrapText="1"/>
      <protection locked="0"/>
    </xf>
    <xf numFmtId="0" fontId="0" fillId="0" borderId="19" xfId="0" applyBorder="1" applyProtection="1">
      <protection locked="0"/>
    </xf>
    <xf numFmtId="0" fontId="7" fillId="17" borderId="17" xfId="0" applyFont="1" applyFill="1" applyBorder="1" applyAlignment="1" applyProtection="1">
      <alignment horizontal="center" vertical="center" wrapText="1"/>
      <protection locked="0"/>
    </xf>
    <xf numFmtId="0" fontId="0" fillId="0" borderId="21" xfId="0" applyBorder="1" applyProtection="1">
      <protection locked="0"/>
    </xf>
    <xf numFmtId="0" fontId="8" fillId="11" borderId="17" xfId="0" applyFont="1" applyFill="1" applyBorder="1" applyAlignment="1" applyProtection="1">
      <alignment horizontal="center" vertical="center"/>
      <protection locked="0"/>
    </xf>
    <xf numFmtId="0" fontId="11" fillId="7" borderId="17" xfId="0" applyFont="1" applyFill="1" applyBorder="1" applyAlignment="1" applyProtection="1">
      <alignment horizontal="center" vertical="center" wrapText="1"/>
      <protection locked="0"/>
    </xf>
    <xf numFmtId="2" fontId="22" fillId="0" borderId="17" xfId="0" applyNumberFormat="1" applyFont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3" fillId="17" borderId="17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0" fillId="0" borderId="27" xfId="0" applyBorder="1"/>
    <xf numFmtId="2" fontId="5" fillId="0" borderId="17" xfId="0" applyNumberFormat="1" applyFont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0" fontId="15" fillId="17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16" fillId="3" borderId="47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33" xfId="0" applyBorder="1"/>
    <xf numFmtId="0" fontId="18" fillId="5" borderId="8" xfId="0" applyFont="1" applyFill="1" applyBorder="1" applyAlignment="1">
      <alignment horizontal="center" vertical="center" wrapText="1"/>
    </xf>
    <xf numFmtId="0" fontId="0" fillId="0" borderId="0" xfId="0"/>
    <xf numFmtId="0" fontId="0" fillId="0" borderId="13" xfId="0" applyBorder="1"/>
    <xf numFmtId="0" fontId="16" fillId="17" borderId="48" xfId="0" applyFont="1" applyFill="1" applyBorder="1" applyAlignment="1">
      <alignment horizontal="center" vertical="center" wrapText="1"/>
    </xf>
    <xf numFmtId="0" fontId="0" fillId="0" borderId="10" xfId="0" applyBorder="1"/>
    <xf numFmtId="0" fontId="14" fillId="17" borderId="46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W38"/>
  <sheetViews>
    <sheetView tabSelected="1" zoomScaleNormal="100" workbookViewId="0">
      <pane ySplit="3" topLeftCell="A4" activePane="bottomLeft" state="frozen"/>
      <selection pane="bottomLeft" activeCell="A4" sqref="A4:O4"/>
    </sheetView>
  </sheetViews>
  <sheetFormatPr baseColWidth="10" defaultRowHeight="14.5" x14ac:dyDescent="0.35"/>
  <cols>
    <col min="1" max="1" width="2.1796875" bestFit="1" customWidth="1"/>
    <col min="2" max="2" width="24.81640625" style="59" customWidth="1"/>
    <col min="3" max="4" width="9.54296875" style="59" customWidth="1"/>
    <col min="5" max="7" width="9.54296875" style="94" customWidth="1"/>
    <col min="8" max="15" width="7.81640625" style="59" customWidth="1"/>
  </cols>
  <sheetData>
    <row r="1" spans="1:15" s="33" customFormat="1" ht="15.75" customHeight="1" thickBot="1" x14ac:dyDescent="0.4">
      <c r="A1" s="148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89"/>
      <c r="O1" s="89"/>
    </row>
    <row r="2" spans="1:15" s="33" customFormat="1" ht="13.5" customHeight="1" thickBot="1" x14ac:dyDescent="0.4">
      <c r="A2" s="153" t="s">
        <v>1</v>
      </c>
      <c r="B2" s="151"/>
      <c r="C2" s="151"/>
      <c r="D2" s="151"/>
      <c r="E2" s="151"/>
      <c r="F2" s="151"/>
      <c r="G2" s="152"/>
      <c r="H2" s="150" t="s">
        <v>2</v>
      </c>
      <c r="I2" s="151"/>
      <c r="J2" s="151"/>
      <c r="K2" s="152"/>
      <c r="L2" s="150" t="s">
        <v>3</v>
      </c>
      <c r="M2" s="151"/>
      <c r="N2" s="151"/>
      <c r="O2" s="152"/>
    </row>
    <row r="3" spans="1:15" ht="14.25" customHeight="1" thickBot="1" x14ac:dyDescent="0.4">
      <c r="A3" s="1" t="s">
        <v>278</v>
      </c>
      <c r="B3" s="2" t="s">
        <v>5</v>
      </c>
      <c r="C3" s="10" t="s">
        <v>6</v>
      </c>
      <c r="D3" s="2" t="s">
        <v>7</v>
      </c>
      <c r="E3" s="48" t="s">
        <v>8</v>
      </c>
      <c r="F3" s="49" t="s">
        <v>9</v>
      </c>
      <c r="G3" s="50" t="s">
        <v>10</v>
      </c>
      <c r="H3" s="51" t="s">
        <v>11</v>
      </c>
      <c r="I3" s="2" t="s">
        <v>12</v>
      </c>
      <c r="J3" s="2" t="s">
        <v>13</v>
      </c>
      <c r="K3" s="2" t="s">
        <v>10</v>
      </c>
      <c r="L3" s="52" t="s">
        <v>11</v>
      </c>
      <c r="M3" s="53" t="s">
        <v>12</v>
      </c>
      <c r="N3" s="54" t="s">
        <v>13</v>
      </c>
      <c r="O3" s="53" t="s">
        <v>10</v>
      </c>
    </row>
    <row r="4" spans="1:15" ht="7.5" customHeight="1" x14ac:dyDescent="0.35">
      <c r="A4" s="145" t="s">
        <v>14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7"/>
    </row>
    <row r="5" spans="1:15" ht="14.25" customHeight="1" x14ac:dyDescent="0.35">
      <c r="A5" s="24">
        <v>1</v>
      </c>
      <c r="B5" s="58" t="s">
        <v>15</v>
      </c>
      <c r="C5" s="69">
        <v>45181</v>
      </c>
      <c r="D5" s="9" t="s">
        <v>16</v>
      </c>
      <c r="E5" s="21">
        <v>15.4</v>
      </c>
      <c r="F5" s="21">
        <v>94</v>
      </c>
      <c r="G5" s="21">
        <f t="shared" ref="G5:G10" si="0">E5/(F5/100)^2</f>
        <v>17.428700769578995</v>
      </c>
      <c r="H5" s="116" t="s">
        <v>17</v>
      </c>
      <c r="I5" s="40" t="s">
        <v>18</v>
      </c>
      <c r="J5" s="116" t="s">
        <v>17</v>
      </c>
      <c r="K5" s="40" t="s">
        <v>19</v>
      </c>
      <c r="L5" s="40" t="s">
        <v>18</v>
      </c>
      <c r="M5" s="40" t="s">
        <v>18</v>
      </c>
      <c r="N5" s="40" t="s">
        <v>18</v>
      </c>
      <c r="O5" s="40" t="s">
        <v>19</v>
      </c>
    </row>
    <row r="6" spans="1:15" ht="17.25" customHeight="1" x14ac:dyDescent="0.35">
      <c r="A6" s="24">
        <v>2</v>
      </c>
      <c r="B6" s="58" t="s">
        <v>20</v>
      </c>
      <c r="C6" s="63">
        <v>45495</v>
      </c>
      <c r="D6" s="9" t="s">
        <v>21</v>
      </c>
      <c r="E6" s="21">
        <v>15.4</v>
      </c>
      <c r="F6" s="21">
        <v>85.3</v>
      </c>
      <c r="G6" s="21">
        <f t="shared" si="0"/>
        <v>21.165213734299606</v>
      </c>
      <c r="H6" s="132" t="s">
        <v>22</v>
      </c>
      <c r="I6" s="40" t="s">
        <v>18</v>
      </c>
      <c r="J6" s="138" t="s">
        <v>23</v>
      </c>
      <c r="K6" s="40" t="s">
        <v>19</v>
      </c>
      <c r="L6" s="132" t="s">
        <v>22</v>
      </c>
      <c r="M6" s="40" t="s">
        <v>18</v>
      </c>
      <c r="N6" s="138" t="s">
        <v>23</v>
      </c>
      <c r="O6" s="40" t="s">
        <v>19</v>
      </c>
    </row>
    <row r="7" spans="1:15" ht="14.25" customHeight="1" x14ac:dyDescent="0.35">
      <c r="A7" s="24">
        <v>3</v>
      </c>
      <c r="B7" s="58" t="s">
        <v>24</v>
      </c>
      <c r="C7" s="63">
        <v>45669</v>
      </c>
      <c r="D7" s="9" t="s">
        <v>25</v>
      </c>
      <c r="E7" s="21">
        <v>11.75</v>
      </c>
      <c r="F7" s="21">
        <v>79</v>
      </c>
      <c r="G7" s="21">
        <f t="shared" si="0"/>
        <v>18.827111039897449</v>
      </c>
      <c r="H7" s="40" t="s">
        <v>18</v>
      </c>
      <c r="I7" s="40" t="s">
        <v>18</v>
      </c>
      <c r="J7" s="116" t="s">
        <v>17</v>
      </c>
      <c r="K7" s="40" t="s">
        <v>19</v>
      </c>
      <c r="L7" s="40" t="s">
        <v>18</v>
      </c>
      <c r="M7" s="40" t="s">
        <v>18</v>
      </c>
      <c r="N7" s="40" t="s">
        <v>18</v>
      </c>
      <c r="O7" s="40" t="s">
        <v>19</v>
      </c>
    </row>
    <row r="8" spans="1:15" ht="14.25" customHeight="1" x14ac:dyDescent="0.35">
      <c r="A8" s="25">
        <v>4</v>
      </c>
      <c r="B8" s="58" t="s">
        <v>26</v>
      </c>
      <c r="C8" s="63">
        <v>45805</v>
      </c>
      <c r="D8" s="26" t="s">
        <v>27</v>
      </c>
      <c r="E8" s="105">
        <v>10.7</v>
      </c>
      <c r="F8" s="105">
        <v>75.3</v>
      </c>
      <c r="G8" s="21">
        <f t="shared" si="0"/>
        <v>18.870952665654336</v>
      </c>
      <c r="H8" s="116" t="s">
        <v>17</v>
      </c>
      <c r="I8" s="40" t="s">
        <v>28</v>
      </c>
      <c r="J8" s="40" t="s">
        <v>28</v>
      </c>
      <c r="K8" s="40" t="s">
        <v>19</v>
      </c>
      <c r="L8" s="40" t="s">
        <v>18</v>
      </c>
      <c r="M8" s="40" t="s">
        <v>18</v>
      </c>
      <c r="N8" s="40" t="s">
        <v>18</v>
      </c>
      <c r="O8" s="40" t="s">
        <v>19</v>
      </c>
    </row>
    <row r="9" spans="1:15" ht="14.25" customHeight="1" x14ac:dyDescent="0.35">
      <c r="A9" s="25">
        <v>5</v>
      </c>
      <c r="B9" s="58" t="s">
        <v>29</v>
      </c>
      <c r="C9" s="63">
        <v>44932</v>
      </c>
      <c r="D9" s="26" t="s">
        <v>30</v>
      </c>
      <c r="E9" s="105">
        <v>15.85</v>
      </c>
      <c r="F9" s="105">
        <v>91.5</v>
      </c>
      <c r="G9" s="21">
        <f t="shared" si="0"/>
        <v>18.931589477141745</v>
      </c>
      <c r="H9" s="40" t="s">
        <v>18</v>
      </c>
      <c r="I9" s="135" t="s">
        <v>31</v>
      </c>
      <c r="J9" s="130" t="s">
        <v>32</v>
      </c>
      <c r="K9" s="40" t="s">
        <v>19</v>
      </c>
      <c r="L9" s="40" t="s">
        <v>18</v>
      </c>
      <c r="M9" s="40" t="s">
        <v>18</v>
      </c>
      <c r="N9" s="116" t="s">
        <v>17</v>
      </c>
      <c r="O9" s="40" t="s">
        <v>19</v>
      </c>
    </row>
    <row r="10" spans="1:15" ht="14.25" customHeight="1" x14ac:dyDescent="0.35">
      <c r="A10" s="25">
        <v>6</v>
      </c>
      <c r="B10" s="79" t="s">
        <v>33</v>
      </c>
      <c r="C10" s="63">
        <v>45661</v>
      </c>
      <c r="D10" s="26" t="s">
        <v>25</v>
      </c>
      <c r="E10" s="105">
        <v>10.6</v>
      </c>
      <c r="F10" s="105">
        <v>74.3</v>
      </c>
      <c r="G10" s="21">
        <f t="shared" si="0"/>
        <v>19.201194096900817</v>
      </c>
      <c r="H10" s="40" t="s">
        <v>18</v>
      </c>
      <c r="I10" s="135" t="s">
        <v>31</v>
      </c>
      <c r="J10" s="116" t="s">
        <v>17</v>
      </c>
      <c r="K10" s="40" t="s">
        <v>19</v>
      </c>
      <c r="L10" s="40" t="s">
        <v>18</v>
      </c>
      <c r="M10" s="40" t="s">
        <v>18</v>
      </c>
      <c r="N10" s="40" t="s">
        <v>18</v>
      </c>
      <c r="O10" s="40" t="s">
        <v>19</v>
      </c>
    </row>
    <row r="11" spans="1:15" ht="12.75" customHeight="1" x14ac:dyDescent="0.35">
      <c r="A11" s="142" t="s">
        <v>34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4"/>
    </row>
    <row r="12" spans="1:15" ht="12.75" customHeight="1" x14ac:dyDescent="0.35">
      <c r="A12" s="24">
        <v>1</v>
      </c>
      <c r="B12" s="58" t="s">
        <v>35</v>
      </c>
      <c r="C12" s="63">
        <v>44425</v>
      </c>
      <c r="D12" s="9" t="s">
        <v>36</v>
      </c>
      <c r="E12" s="39">
        <v>13.25</v>
      </c>
      <c r="F12" s="39">
        <v>92.5</v>
      </c>
      <c r="G12" s="21">
        <f t="shared" ref="G12:G17" si="1">E12/(F12/100)^2</f>
        <v>15.485756026296565</v>
      </c>
      <c r="H12" s="106" t="s">
        <v>37</v>
      </c>
      <c r="I12" s="136" t="s">
        <v>38</v>
      </c>
      <c r="J12" s="9" t="s">
        <v>18</v>
      </c>
      <c r="K12" s="9" t="s">
        <v>19</v>
      </c>
      <c r="L12" s="106" t="s">
        <v>39</v>
      </c>
      <c r="M12" s="136" t="s">
        <v>40</v>
      </c>
      <c r="N12" s="9" t="s">
        <v>18</v>
      </c>
      <c r="O12" s="9" t="s">
        <v>19</v>
      </c>
    </row>
    <row r="13" spans="1:15" ht="12.75" customHeight="1" x14ac:dyDescent="0.35">
      <c r="A13" s="9">
        <v>3</v>
      </c>
      <c r="B13" s="58" t="s">
        <v>41</v>
      </c>
      <c r="C13" s="63">
        <v>44935</v>
      </c>
      <c r="D13" s="9" t="s">
        <v>42</v>
      </c>
      <c r="E13" s="39">
        <v>14.75</v>
      </c>
      <c r="F13" s="39">
        <v>93.2</v>
      </c>
      <c r="G13" s="21">
        <f t="shared" si="1"/>
        <v>16.980880104625246</v>
      </c>
      <c r="H13" s="9" t="s">
        <v>18</v>
      </c>
      <c r="I13" s="9" t="s">
        <v>18</v>
      </c>
      <c r="J13" s="9" t="s">
        <v>18</v>
      </c>
      <c r="K13" s="9" t="s">
        <v>19</v>
      </c>
      <c r="L13" s="9" t="s">
        <v>18</v>
      </c>
      <c r="M13" s="9" t="s">
        <v>18</v>
      </c>
      <c r="N13" s="9" t="s">
        <v>18</v>
      </c>
      <c r="O13" s="9" t="s">
        <v>19</v>
      </c>
    </row>
    <row r="14" spans="1:15" ht="12.75" customHeight="1" x14ac:dyDescent="0.35">
      <c r="A14" s="4">
        <v>4</v>
      </c>
      <c r="B14" s="58" t="s">
        <v>43</v>
      </c>
      <c r="C14" s="63">
        <v>44994</v>
      </c>
      <c r="D14" s="9" t="s">
        <v>44</v>
      </c>
      <c r="E14" s="39">
        <v>14</v>
      </c>
      <c r="F14" s="39">
        <v>93.5</v>
      </c>
      <c r="G14" s="21">
        <f t="shared" si="1"/>
        <v>16.014183991535358</v>
      </c>
      <c r="H14" s="9" t="s">
        <v>18</v>
      </c>
      <c r="I14" s="9" t="s">
        <v>18</v>
      </c>
      <c r="J14" s="9" t="s">
        <v>18</v>
      </c>
      <c r="K14" s="9" t="s">
        <v>19</v>
      </c>
      <c r="L14" s="9" t="s">
        <v>18</v>
      </c>
      <c r="M14" s="9" t="s">
        <v>18</v>
      </c>
      <c r="N14" s="9" t="s">
        <v>18</v>
      </c>
      <c r="O14" s="9" t="s">
        <v>19</v>
      </c>
    </row>
    <row r="15" spans="1:15" ht="12.75" customHeight="1" x14ac:dyDescent="0.35">
      <c r="A15" s="4">
        <v>5</v>
      </c>
      <c r="B15" s="57" t="s">
        <v>45</v>
      </c>
      <c r="C15" s="63">
        <v>44553</v>
      </c>
      <c r="D15" s="9" t="s">
        <v>46</v>
      </c>
      <c r="E15" s="39">
        <v>19.5</v>
      </c>
      <c r="F15" s="39">
        <v>96.5</v>
      </c>
      <c r="G15" s="21">
        <f t="shared" si="1"/>
        <v>20.940159467368254</v>
      </c>
      <c r="I15" s="9" t="s">
        <v>28</v>
      </c>
      <c r="J15" s="138" t="s">
        <v>23</v>
      </c>
      <c r="K15" s="9" t="s">
        <v>19</v>
      </c>
      <c r="L15" s="9" t="s">
        <v>18</v>
      </c>
      <c r="M15" s="9" t="s">
        <v>18</v>
      </c>
      <c r="N15" s="130" t="s">
        <v>22</v>
      </c>
      <c r="O15" s="9" t="s">
        <v>19</v>
      </c>
    </row>
    <row r="16" spans="1:15" ht="12.75" customHeight="1" x14ac:dyDescent="0.35">
      <c r="A16" s="4">
        <v>6</v>
      </c>
      <c r="B16" s="79" t="s">
        <v>47</v>
      </c>
      <c r="C16" s="63">
        <v>44711</v>
      </c>
      <c r="D16" s="9" t="s">
        <v>48</v>
      </c>
      <c r="E16" s="39">
        <v>14</v>
      </c>
      <c r="F16" s="39">
        <v>96.9</v>
      </c>
      <c r="G16" s="21">
        <f t="shared" si="1"/>
        <v>14.910097437486751</v>
      </c>
      <c r="H16" s="41" t="s">
        <v>18</v>
      </c>
      <c r="I16" s="41" t="s">
        <v>18</v>
      </c>
      <c r="J16" s="41" t="s">
        <v>18</v>
      </c>
      <c r="K16" s="41" t="s">
        <v>19</v>
      </c>
      <c r="L16" s="41" t="s">
        <v>49</v>
      </c>
      <c r="M16" s="42" t="s">
        <v>18</v>
      </c>
      <c r="N16" s="41" t="s">
        <v>18</v>
      </c>
      <c r="O16" s="41" t="s">
        <v>19</v>
      </c>
    </row>
    <row r="17" spans="1:23" ht="18" customHeight="1" x14ac:dyDescent="0.35">
      <c r="A17" s="4">
        <v>7</v>
      </c>
      <c r="B17" s="79" t="s">
        <v>50</v>
      </c>
      <c r="C17" s="63">
        <v>44681</v>
      </c>
      <c r="D17" s="9" t="s">
        <v>51</v>
      </c>
      <c r="E17" s="39">
        <v>20.25</v>
      </c>
      <c r="F17" s="39">
        <v>100</v>
      </c>
      <c r="G17" s="21">
        <f t="shared" si="1"/>
        <v>20.25</v>
      </c>
      <c r="H17" s="129" t="s">
        <v>17</v>
      </c>
      <c r="I17" s="41" t="s">
        <v>18</v>
      </c>
      <c r="J17" s="130" t="s">
        <v>32</v>
      </c>
      <c r="K17" s="41" t="s">
        <v>19</v>
      </c>
      <c r="L17" s="41" t="s">
        <v>18</v>
      </c>
      <c r="M17" s="41" t="s">
        <v>18</v>
      </c>
      <c r="N17" s="130" t="s">
        <v>22</v>
      </c>
      <c r="O17" s="41" t="s">
        <v>19</v>
      </c>
      <c r="Q17" s="38"/>
    </row>
    <row r="18" spans="1:23" ht="12.75" customHeight="1" x14ac:dyDescent="0.35">
      <c r="A18" s="142" t="s">
        <v>52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4"/>
    </row>
    <row r="19" spans="1:23" ht="12.75" customHeight="1" x14ac:dyDescent="0.35">
      <c r="A19" s="9">
        <v>1</v>
      </c>
      <c r="B19" s="79" t="s">
        <v>53</v>
      </c>
      <c r="C19" s="69">
        <v>44364</v>
      </c>
      <c r="D19" s="9" t="s">
        <v>54</v>
      </c>
      <c r="E19" s="39">
        <v>17.7</v>
      </c>
      <c r="F19" s="39">
        <v>105.8</v>
      </c>
      <c r="G19" s="21">
        <f t="shared" ref="G19:G25" si="2">E19/(F19/100)^2</f>
        <v>15.812550698432323</v>
      </c>
      <c r="H19" s="9" t="s">
        <v>18</v>
      </c>
      <c r="I19" s="9" t="s">
        <v>18</v>
      </c>
      <c r="J19" s="9" t="s">
        <v>19</v>
      </c>
      <c r="K19" s="9" t="s">
        <v>19</v>
      </c>
      <c r="L19" s="9" t="s">
        <v>18</v>
      </c>
      <c r="M19" s="9" t="s">
        <v>18</v>
      </c>
      <c r="N19" s="9" t="s">
        <v>18</v>
      </c>
      <c r="O19" s="9" t="s">
        <v>19</v>
      </c>
      <c r="P19" s="8"/>
      <c r="Q19" s="8"/>
      <c r="R19" s="8"/>
      <c r="S19" s="8"/>
      <c r="T19" s="8"/>
      <c r="U19" s="8"/>
      <c r="V19" s="8"/>
    </row>
    <row r="20" spans="1:23" s="3" customFormat="1" ht="12.75" customHeight="1" x14ac:dyDescent="0.35">
      <c r="A20" s="4">
        <v>2</v>
      </c>
      <c r="B20" s="79" t="s">
        <v>55</v>
      </c>
      <c r="C20" s="69">
        <v>44152</v>
      </c>
      <c r="D20" s="9" t="s">
        <v>56</v>
      </c>
      <c r="E20" s="39">
        <v>21.7</v>
      </c>
      <c r="F20" s="39">
        <v>112.4</v>
      </c>
      <c r="G20" s="21">
        <f t="shared" si="2"/>
        <v>17.176200909309657</v>
      </c>
      <c r="H20" s="9" t="s">
        <v>19</v>
      </c>
      <c r="I20" s="9" t="s">
        <v>18</v>
      </c>
      <c r="J20" s="9" t="s">
        <v>19</v>
      </c>
      <c r="K20" s="129" t="s">
        <v>57</v>
      </c>
      <c r="L20" s="9" t="s">
        <v>19</v>
      </c>
      <c r="M20" s="9" t="s">
        <v>18</v>
      </c>
      <c r="N20" s="9" t="s">
        <v>19</v>
      </c>
      <c r="O20" s="129" t="s">
        <v>58</v>
      </c>
      <c r="P20" s="8"/>
      <c r="Q20" s="8"/>
      <c r="R20" s="8"/>
      <c r="S20" s="8"/>
      <c r="T20" s="8"/>
      <c r="U20" s="8"/>
      <c r="V20" s="8"/>
      <c r="W20" s="8"/>
    </row>
    <row r="21" spans="1:23" ht="12.75" customHeight="1" x14ac:dyDescent="0.35">
      <c r="A21" s="4">
        <v>3</v>
      </c>
      <c r="B21" s="58" t="s">
        <v>59</v>
      </c>
      <c r="C21" s="63">
        <v>44372</v>
      </c>
      <c r="D21" s="9" t="s">
        <v>54</v>
      </c>
      <c r="E21" s="39">
        <v>22.15</v>
      </c>
      <c r="F21" s="39">
        <v>106.5</v>
      </c>
      <c r="G21" s="21">
        <f t="shared" si="2"/>
        <v>19.528753113359343</v>
      </c>
      <c r="H21" s="129" t="s">
        <v>17</v>
      </c>
      <c r="I21" s="9" t="s">
        <v>18</v>
      </c>
      <c r="J21" s="9" t="s">
        <v>19</v>
      </c>
      <c r="K21" s="9" t="s">
        <v>19</v>
      </c>
      <c r="L21" s="9" t="s">
        <v>18</v>
      </c>
      <c r="M21" s="9" t="s">
        <v>18</v>
      </c>
      <c r="N21" s="129" t="s">
        <v>17</v>
      </c>
      <c r="O21" s="9" t="s">
        <v>19</v>
      </c>
    </row>
    <row r="22" spans="1:23" ht="12.75" customHeight="1" x14ac:dyDescent="0.35">
      <c r="A22" s="27">
        <v>4</v>
      </c>
      <c r="B22" s="90" t="s">
        <v>60</v>
      </c>
      <c r="C22" s="91">
        <v>44525</v>
      </c>
      <c r="D22" s="9" t="s">
        <v>61</v>
      </c>
      <c r="E22" s="39">
        <v>16.55</v>
      </c>
      <c r="F22" s="39">
        <v>100.5</v>
      </c>
      <c r="G22" s="21">
        <f t="shared" si="2"/>
        <v>16.385733026410243</v>
      </c>
      <c r="H22" s="9" t="s">
        <v>18</v>
      </c>
      <c r="I22" s="9" t="s">
        <v>28</v>
      </c>
      <c r="J22" s="9" t="s">
        <v>19</v>
      </c>
      <c r="K22" s="9" t="s">
        <v>19</v>
      </c>
      <c r="L22" s="9" t="s">
        <v>18</v>
      </c>
      <c r="M22" s="40" t="s">
        <v>18</v>
      </c>
      <c r="N22" s="9" t="s">
        <v>18</v>
      </c>
      <c r="O22" s="9" t="s">
        <v>19</v>
      </c>
    </row>
    <row r="23" spans="1:23" s="8" customFormat="1" ht="12.75" customHeight="1" x14ac:dyDescent="0.35">
      <c r="A23" s="27">
        <v>5</v>
      </c>
      <c r="B23" s="92" t="s">
        <v>62</v>
      </c>
      <c r="C23" s="93">
        <v>44349</v>
      </c>
      <c r="D23" s="41" t="s">
        <v>54</v>
      </c>
      <c r="E23" s="39">
        <v>16.25</v>
      </c>
      <c r="F23" s="39">
        <v>97.9</v>
      </c>
      <c r="G23" s="21">
        <f t="shared" si="2"/>
        <v>16.954616924776797</v>
      </c>
      <c r="H23" s="9" t="s">
        <v>18</v>
      </c>
      <c r="I23" s="9" t="s">
        <v>28</v>
      </c>
      <c r="J23" s="9" t="s">
        <v>19</v>
      </c>
      <c r="K23" s="9" t="s">
        <v>19</v>
      </c>
      <c r="L23" s="9" t="s">
        <v>18</v>
      </c>
      <c r="M23" s="107" t="s">
        <v>31</v>
      </c>
      <c r="N23" s="9" t="s">
        <v>18</v>
      </c>
      <c r="O23" s="9" t="s">
        <v>19</v>
      </c>
      <c r="P23" s="103"/>
    </row>
    <row r="24" spans="1:23" ht="12.75" customHeight="1" x14ac:dyDescent="0.35">
      <c r="A24" s="4">
        <v>6</v>
      </c>
      <c r="B24" s="58" t="s">
        <v>63</v>
      </c>
      <c r="C24" s="62">
        <v>44107</v>
      </c>
      <c r="D24" s="9" t="s">
        <v>64</v>
      </c>
      <c r="E24" s="39">
        <v>19.100000000000001</v>
      </c>
      <c r="F24" s="39">
        <v>103</v>
      </c>
      <c r="G24" s="21">
        <f t="shared" si="2"/>
        <v>18.003581864454709</v>
      </c>
      <c r="H24" s="9" t="s">
        <v>19</v>
      </c>
      <c r="I24" s="9" t="s">
        <v>18</v>
      </c>
      <c r="J24" s="9" t="s">
        <v>19</v>
      </c>
      <c r="K24" s="129" t="s">
        <v>57</v>
      </c>
      <c r="L24" s="9" t="s">
        <v>19</v>
      </c>
      <c r="M24" s="9" t="s">
        <v>28</v>
      </c>
      <c r="N24" s="9" t="s">
        <v>18</v>
      </c>
      <c r="O24" s="9" t="s">
        <v>18</v>
      </c>
    </row>
    <row r="25" spans="1:23" ht="12.75" customHeight="1" x14ac:dyDescent="0.35">
      <c r="A25" s="4">
        <v>7</v>
      </c>
      <c r="B25" s="58" t="s">
        <v>65</v>
      </c>
      <c r="C25" s="62">
        <v>44530</v>
      </c>
      <c r="D25" s="9" t="s">
        <v>61</v>
      </c>
      <c r="E25" s="39">
        <v>17</v>
      </c>
      <c r="F25" s="39">
        <v>106.8</v>
      </c>
      <c r="G25" s="21">
        <f t="shared" si="2"/>
        <v>14.904122655669177</v>
      </c>
      <c r="H25" s="9" t="s">
        <v>18</v>
      </c>
      <c r="I25" s="9" t="s">
        <v>18</v>
      </c>
      <c r="J25" s="9" t="s">
        <v>19</v>
      </c>
      <c r="K25" s="9" t="s">
        <v>18</v>
      </c>
      <c r="L25" s="9" t="s">
        <v>18</v>
      </c>
      <c r="M25" s="9" t="s">
        <v>28</v>
      </c>
      <c r="N25" s="9" t="s">
        <v>18</v>
      </c>
      <c r="O25" s="9"/>
    </row>
    <row r="26" spans="1:23" ht="12.75" customHeight="1" x14ac:dyDescent="0.35">
      <c r="A26" s="142" t="s">
        <v>66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4"/>
    </row>
    <row r="27" spans="1:23" ht="12.75" customHeight="1" x14ac:dyDescent="0.35">
      <c r="A27" s="9">
        <v>1</v>
      </c>
      <c r="B27" s="57" t="s">
        <v>67</v>
      </c>
      <c r="C27" s="62">
        <v>43641</v>
      </c>
      <c r="D27" s="9" t="s">
        <v>68</v>
      </c>
      <c r="E27" s="39">
        <v>24.9</v>
      </c>
      <c r="F27" s="39">
        <v>118.4</v>
      </c>
      <c r="G27" s="21">
        <f t="shared" ref="G27:G33" si="3">E27/(F27/100)^2</f>
        <v>17.762166727538343</v>
      </c>
      <c r="H27" s="40" t="s">
        <v>19</v>
      </c>
      <c r="I27" s="9" t="s">
        <v>18</v>
      </c>
      <c r="K27" s="129" t="s">
        <v>57</v>
      </c>
      <c r="L27" s="9" t="s">
        <v>19</v>
      </c>
      <c r="M27" s="9" t="s">
        <v>18</v>
      </c>
      <c r="N27" s="9" t="s">
        <v>19</v>
      </c>
      <c r="O27" s="129" t="s">
        <v>58</v>
      </c>
      <c r="P27" s="104"/>
    </row>
    <row r="28" spans="1:23" ht="12.75" customHeight="1" x14ac:dyDescent="0.35">
      <c r="A28" s="4">
        <v>2</v>
      </c>
      <c r="B28" s="58" t="s">
        <v>69</v>
      </c>
      <c r="C28" s="63">
        <v>43843</v>
      </c>
      <c r="D28" s="9" t="s">
        <v>70</v>
      </c>
      <c r="E28" s="39">
        <v>25.1</v>
      </c>
      <c r="F28" s="39">
        <v>118</v>
      </c>
      <c r="G28" s="21">
        <f t="shared" si="3"/>
        <v>18.026429187015228</v>
      </c>
      <c r="H28" s="40" t="s">
        <v>19</v>
      </c>
      <c r="I28" s="9" t="s">
        <v>18</v>
      </c>
      <c r="K28" s="129" t="s">
        <v>57</v>
      </c>
      <c r="L28" s="9" t="s">
        <v>19</v>
      </c>
      <c r="M28" s="9" t="s">
        <v>18</v>
      </c>
      <c r="N28" s="9" t="s">
        <v>19</v>
      </c>
      <c r="O28" s="129" t="s">
        <v>58</v>
      </c>
    </row>
    <row r="29" spans="1:23" ht="12.75" customHeight="1" x14ac:dyDescent="0.35">
      <c r="A29" s="4">
        <v>3</v>
      </c>
      <c r="B29" s="58" t="s">
        <v>71</v>
      </c>
      <c r="C29" s="63">
        <v>43843</v>
      </c>
      <c r="D29" s="9" t="s">
        <v>72</v>
      </c>
      <c r="E29" s="39">
        <v>23</v>
      </c>
      <c r="F29" s="39">
        <v>115.9</v>
      </c>
      <c r="G29" s="21">
        <f t="shared" si="3"/>
        <v>17.122255135001534</v>
      </c>
      <c r="H29" s="40" t="s">
        <v>19</v>
      </c>
      <c r="I29" s="9" t="s">
        <v>18</v>
      </c>
      <c r="K29" s="129" t="s">
        <v>57</v>
      </c>
      <c r="L29" s="9" t="s">
        <v>19</v>
      </c>
      <c r="M29" s="9" t="s">
        <v>28</v>
      </c>
      <c r="N29" s="9" t="s">
        <v>19</v>
      </c>
      <c r="O29" s="129" t="s">
        <v>58</v>
      </c>
    </row>
    <row r="30" spans="1:23" ht="15.75" customHeight="1" x14ac:dyDescent="0.35">
      <c r="A30" s="4">
        <v>4</v>
      </c>
      <c r="B30" s="57" t="s">
        <v>73</v>
      </c>
      <c r="C30" s="68">
        <v>43691</v>
      </c>
      <c r="D30" s="9" t="s">
        <v>74</v>
      </c>
      <c r="E30" s="39">
        <v>24.15</v>
      </c>
      <c r="F30" s="39">
        <v>106.7</v>
      </c>
      <c r="G30" s="21">
        <f t="shared" si="3"/>
        <v>21.212326162132442</v>
      </c>
      <c r="H30" s="40" t="s">
        <v>19</v>
      </c>
      <c r="I30" s="137" t="s">
        <v>75</v>
      </c>
      <c r="K30" s="138" t="s">
        <v>23</v>
      </c>
      <c r="L30" s="9" t="s">
        <v>19</v>
      </c>
      <c r="M30" s="107" t="s">
        <v>31</v>
      </c>
      <c r="N30" s="9" t="s">
        <v>19</v>
      </c>
      <c r="O30" s="138" t="s">
        <v>23</v>
      </c>
    </row>
    <row r="31" spans="1:23" ht="12.75" customHeight="1" x14ac:dyDescent="0.35">
      <c r="A31" s="4">
        <v>5</v>
      </c>
      <c r="B31" s="57" t="s">
        <v>76</v>
      </c>
      <c r="C31" s="62">
        <v>43809</v>
      </c>
      <c r="D31" s="9" t="s">
        <v>77</v>
      </c>
      <c r="E31" s="39">
        <v>22.45</v>
      </c>
      <c r="F31" s="39">
        <v>117.1</v>
      </c>
      <c r="G31" s="21">
        <f t="shared" si="3"/>
        <v>16.372030882973888</v>
      </c>
      <c r="I31" s="9" t="s">
        <v>18</v>
      </c>
      <c r="K31" s="9" t="s">
        <v>18</v>
      </c>
      <c r="L31" s="9" t="s">
        <v>19</v>
      </c>
      <c r="M31" s="9" t="s">
        <v>28</v>
      </c>
      <c r="N31" s="9" t="s">
        <v>19</v>
      </c>
      <c r="O31" s="9" t="s">
        <v>28</v>
      </c>
    </row>
    <row r="32" spans="1:23" ht="12.75" customHeight="1" x14ac:dyDescent="0.35">
      <c r="A32" s="4">
        <v>6</v>
      </c>
      <c r="B32" s="58" t="s">
        <v>78</v>
      </c>
      <c r="C32" s="68">
        <v>43791</v>
      </c>
      <c r="D32" s="9" t="s">
        <v>79</v>
      </c>
      <c r="E32" s="39">
        <v>20.45</v>
      </c>
      <c r="F32" s="39">
        <v>110.2</v>
      </c>
      <c r="G32" s="21">
        <f t="shared" si="3"/>
        <v>16.839536101659739</v>
      </c>
      <c r="I32" s="107" t="s">
        <v>31</v>
      </c>
      <c r="K32" s="9" t="s">
        <v>18</v>
      </c>
      <c r="L32" s="9" t="s">
        <v>19</v>
      </c>
      <c r="M32" s="9" t="s">
        <v>28</v>
      </c>
      <c r="N32" s="9" t="s">
        <v>19</v>
      </c>
      <c r="O32" s="9" t="s">
        <v>28</v>
      </c>
    </row>
    <row r="33" spans="1:15" ht="12.75" customHeight="1" x14ac:dyDescent="0.35">
      <c r="A33" s="4">
        <v>7</v>
      </c>
      <c r="B33" s="57" t="s">
        <v>80</v>
      </c>
      <c r="C33" s="62">
        <v>43506</v>
      </c>
      <c r="D33" s="9" t="s">
        <v>81</v>
      </c>
      <c r="E33" s="39">
        <v>21.3</v>
      </c>
      <c r="F33" s="39">
        <v>113.5</v>
      </c>
      <c r="G33" s="21">
        <f t="shared" si="3"/>
        <v>16.534378699373171</v>
      </c>
      <c r="I33" s="107" t="s">
        <v>31</v>
      </c>
      <c r="K33" s="9" t="s">
        <v>18</v>
      </c>
      <c r="L33" s="9" t="s">
        <v>19</v>
      </c>
      <c r="M33" s="107" t="s">
        <v>31</v>
      </c>
      <c r="N33" s="9" t="s">
        <v>19</v>
      </c>
      <c r="O33" s="9" t="s">
        <v>28</v>
      </c>
    </row>
    <row r="34" spans="1:15" ht="12.75" customHeight="1" x14ac:dyDescent="0.35">
      <c r="A34" s="142" t="s">
        <v>82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4"/>
    </row>
    <row r="35" spans="1:15" ht="12.75" customHeight="1" x14ac:dyDescent="0.35">
      <c r="A35" s="4">
        <v>1</v>
      </c>
      <c r="B35" s="79" t="s">
        <v>83</v>
      </c>
      <c r="C35" s="69">
        <v>44261</v>
      </c>
      <c r="D35" s="9" t="s">
        <v>84</v>
      </c>
      <c r="E35" s="39">
        <v>18.3</v>
      </c>
      <c r="F35" s="39">
        <v>104.5</v>
      </c>
      <c r="G35" s="21">
        <f>E35/(F35/100)^2</f>
        <v>16.757858107644058</v>
      </c>
      <c r="H35" s="40" t="s">
        <v>19</v>
      </c>
      <c r="I35" s="107" t="s">
        <v>31</v>
      </c>
      <c r="J35" s="9" t="s">
        <v>19</v>
      </c>
      <c r="K35" s="9" t="s">
        <v>18</v>
      </c>
      <c r="L35" s="9" t="s">
        <v>19</v>
      </c>
      <c r="M35" s="107" t="s">
        <v>31</v>
      </c>
      <c r="N35" s="9" t="s">
        <v>19</v>
      </c>
      <c r="O35" s="9" t="s">
        <v>28</v>
      </c>
    </row>
    <row r="36" spans="1:15" ht="12.75" customHeight="1" x14ac:dyDescent="0.35">
      <c r="A36" s="4">
        <v>2</v>
      </c>
      <c r="B36" s="57" t="s">
        <v>85</v>
      </c>
      <c r="C36" s="62">
        <v>43829</v>
      </c>
      <c r="D36" s="9" t="s">
        <v>86</v>
      </c>
      <c r="E36" s="39">
        <v>20.2</v>
      </c>
      <c r="F36" s="39">
        <v>112.9</v>
      </c>
      <c r="G36" s="21">
        <f>E36/(F36/100)^2</f>
        <v>15.84759944172516</v>
      </c>
      <c r="H36" s="40" t="s">
        <v>19</v>
      </c>
      <c r="I36" s="9" t="s">
        <v>18</v>
      </c>
      <c r="J36" s="9" t="s">
        <v>19</v>
      </c>
      <c r="K36" s="9" t="s">
        <v>18</v>
      </c>
      <c r="L36" s="9" t="s">
        <v>19</v>
      </c>
      <c r="M36" s="9" t="s">
        <v>18</v>
      </c>
      <c r="N36" s="9" t="s">
        <v>19</v>
      </c>
      <c r="O36" s="9" t="s">
        <v>28</v>
      </c>
    </row>
    <row r="37" spans="1:15" ht="12.75" customHeight="1" x14ac:dyDescent="0.35">
      <c r="A37" s="9">
        <v>4</v>
      </c>
      <c r="B37" s="58" t="s">
        <v>87</v>
      </c>
      <c r="C37" s="63">
        <v>43993</v>
      </c>
      <c r="D37" s="9" t="s">
        <v>88</v>
      </c>
      <c r="E37" s="39">
        <v>21.5</v>
      </c>
      <c r="F37" s="39">
        <v>113.3</v>
      </c>
      <c r="G37" s="21">
        <f>E37/(F37/100)^2</f>
        <v>16.748604997004726</v>
      </c>
      <c r="H37" s="40" t="s">
        <v>19</v>
      </c>
      <c r="I37" s="9" t="s">
        <v>18</v>
      </c>
      <c r="J37" s="9" t="s">
        <v>19</v>
      </c>
      <c r="K37" s="9" t="s">
        <v>18</v>
      </c>
      <c r="L37" s="9" t="s">
        <v>19</v>
      </c>
      <c r="M37" s="9" t="s">
        <v>18</v>
      </c>
      <c r="N37" s="9" t="s">
        <v>19</v>
      </c>
      <c r="O37" s="9" t="s">
        <v>28</v>
      </c>
    </row>
    <row r="38" spans="1:15" ht="13.5" customHeight="1" x14ac:dyDescent="0.35">
      <c r="A38" s="6">
        <v>5</v>
      </c>
      <c r="B38" s="58" t="s">
        <v>89</v>
      </c>
      <c r="C38" s="63">
        <v>43894</v>
      </c>
      <c r="D38" s="11" t="s">
        <v>90</v>
      </c>
      <c r="E38" s="39">
        <v>20.6</v>
      </c>
      <c r="F38" s="39">
        <v>107.6</v>
      </c>
      <c r="G38" s="21">
        <f>E38/(F38/100)^2</f>
        <v>17.792733654869341</v>
      </c>
      <c r="H38" s="40" t="s">
        <v>19</v>
      </c>
      <c r="I38" s="107" t="s">
        <v>31</v>
      </c>
      <c r="J38" s="9" t="s">
        <v>19</v>
      </c>
      <c r="K38" s="129" t="s">
        <v>57</v>
      </c>
      <c r="L38" s="9" t="s">
        <v>19</v>
      </c>
      <c r="M38" s="107" t="s">
        <v>31</v>
      </c>
      <c r="N38" s="9" t="s">
        <v>19</v>
      </c>
      <c r="O38" s="129" t="s">
        <v>58</v>
      </c>
    </row>
  </sheetData>
  <mergeCells count="9">
    <mergeCell ref="A34:O34"/>
    <mergeCell ref="A18:O18"/>
    <mergeCell ref="A4:O4"/>
    <mergeCell ref="A26:O26"/>
    <mergeCell ref="A1:M1"/>
    <mergeCell ref="A11:O11"/>
    <mergeCell ref="H2:K2"/>
    <mergeCell ref="L2:O2"/>
    <mergeCell ref="A2:G2"/>
  </mergeCells>
  <pageMargins left="0" right="0" top="0.74803149606299213" bottom="0.74803149606299213" header="0.31496062992125978" footer="0.31496062992125978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L23"/>
  <sheetViews>
    <sheetView zoomScale="112" zoomScaleNormal="112" workbookViewId="0">
      <selection activeCell="B1" sqref="B1:L1"/>
    </sheetView>
  </sheetViews>
  <sheetFormatPr baseColWidth="10" defaultRowHeight="14.5" x14ac:dyDescent="0.35"/>
  <cols>
    <col min="1" max="1" width="3.81640625" customWidth="1"/>
    <col min="2" max="2" width="24" style="59" customWidth="1"/>
    <col min="3" max="3" width="13.7265625" style="59" customWidth="1"/>
    <col min="4" max="4" width="9.26953125" style="59" customWidth="1"/>
    <col min="5" max="5" width="12.81640625" style="59" customWidth="1"/>
    <col min="6" max="6" width="12" style="59" customWidth="1"/>
    <col min="7" max="7" width="12.1796875" style="59" customWidth="1"/>
    <col min="8" max="8" width="13.1796875" style="59" customWidth="1"/>
    <col min="9" max="9" width="14.54296875" style="65" customWidth="1"/>
    <col min="10" max="10" width="12.54296875" style="65" customWidth="1"/>
    <col min="11" max="11" width="15.1796875" style="65" customWidth="1"/>
    <col min="12" max="12" width="15.453125" style="65" customWidth="1"/>
  </cols>
  <sheetData>
    <row r="1" spans="1:12" ht="15.75" customHeight="1" thickBot="1" x14ac:dyDescent="0.4">
      <c r="B1" s="156" t="s">
        <v>91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</row>
    <row r="2" spans="1:12" x14ac:dyDescent="0.35">
      <c r="A2" s="160" t="s">
        <v>1</v>
      </c>
      <c r="B2" s="161"/>
      <c r="C2" s="161"/>
      <c r="D2" s="161"/>
      <c r="E2" s="161"/>
      <c r="F2" s="161"/>
      <c r="G2" s="161"/>
      <c r="H2" s="159"/>
      <c r="I2" s="162"/>
      <c r="J2" s="159"/>
      <c r="K2" s="158" t="s">
        <v>92</v>
      </c>
      <c r="L2" s="159"/>
    </row>
    <row r="3" spans="1:12" ht="16.5" customHeight="1" x14ac:dyDescent="0.35">
      <c r="A3" s="34" t="s">
        <v>4</v>
      </c>
      <c r="B3" s="35" t="s">
        <v>5</v>
      </c>
      <c r="C3" s="60" t="s">
        <v>6</v>
      </c>
      <c r="D3" s="35" t="s">
        <v>7</v>
      </c>
      <c r="E3" s="35" t="s">
        <v>8</v>
      </c>
      <c r="F3" s="35" t="s">
        <v>9</v>
      </c>
      <c r="G3" s="35" t="s">
        <v>93</v>
      </c>
      <c r="H3" s="35" t="s">
        <v>10</v>
      </c>
      <c r="I3" s="46" t="s">
        <v>12</v>
      </c>
      <c r="J3" s="46" t="s">
        <v>94</v>
      </c>
      <c r="K3" s="46" t="s">
        <v>12</v>
      </c>
      <c r="L3" s="47" t="s">
        <v>94</v>
      </c>
    </row>
    <row r="4" spans="1:12" x14ac:dyDescent="0.35">
      <c r="A4" s="155" t="s">
        <v>95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4"/>
    </row>
    <row r="5" spans="1:12" s="5" customFormat="1" ht="15" customHeight="1" x14ac:dyDescent="0.35">
      <c r="A5" s="4">
        <v>1</v>
      </c>
      <c r="B5" s="56" t="s">
        <v>96</v>
      </c>
      <c r="C5" s="61">
        <v>43400</v>
      </c>
      <c r="D5" s="9" t="s">
        <v>97</v>
      </c>
      <c r="E5" s="21">
        <v>23.55</v>
      </c>
      <c r="F5" s="9">
        <v>115.8</v>
      </c>
      <c r="G5" s="9" t="s">
        <v>19</v>
      </c>
      <c r="H5" s="21">
        <f>E5/(F5/100)^2</f>
        <v>17.56199271568812</v>
      </c>
      <c r="I5" s="80" t="s">
        <v>98</v>
      </c>
      <c r="J5" s="85" t="s">
        <v>17</v>
      </c>
      <c r="K5" s="80" t="s">
        <v>31</v>
      </c>
      <c r="L5" s="55" t="s">
        <v>28</v>
      </c>
    </row>
    <row r="6" spans="1:12" s="5" customFormat="1" ht="15.75" customHeight="1" x14ac:dyDescent="0.35">
      <c r="A6" s="4">
        <v>2</v>
      </c>
      <c r="B6" s="57" t="s">
        <v>99</v>
      </c>
      <c r="C6" s="62">
        <v>43502</v>
      </c>
      <c r="D6" s="9" t="s">
        <v>100</v>
      </c>
      <c r="E6" s="9">
        <v>22.05</v>
      </c>
      <c r="F6" s="9">
        <v>117.6</v>
      </c>
      <c r="G6" s="9" t="s">
        <v>19</v>
      </c>
      <c r="H6" s="21">
        <f>E6/(F6/100)^2</f>
        <v>15.943877551020412</v>
      </c>
      <c r="I6" s="41" t="s">
        <v>18</v>
      </c>
      <c r="J6" s="41" t="s">
        <v>18</v>
      </c>
      <c r="K6" s="41" t="s">
        <v>18</v>
      </c>
      <c r="L6" s="55" t="s">
        <v>28</v>
      </c>
    </row>
    <row r="7" spans="1:12" x14ac:dyDescent="0.35">
      <c r="A7" s="22">
        <v>3</v>
      </c>
      <c r="B7" s="57" t="s">
        <v>101</v>
      </c>
      <c r="C7" s="62">
        <v>43502</v>
      </c>
      <c r="D7" s="12" t="s">
        <v>102</v>
      </c>
      <c r="E7" s="12">
        <v>22.05</v>
      </c>
      <c r="F7" s="12">
        <v>122.8</v>
      </c>
      <c r="G7" s="12" t="s">
        <v>19</v>
      </c>
      <c r="H7" s="21">
        <f>E7/(F7/100)^2</f>
        <v>14.622171057517852</v>
      </c>
      <c r="I7" s="43" t="s">
        <v>18</v>
      </c>
      <c r="J7" s="44" t="s">
        <v>18</v>
      </c>
      <c r="K7" s="43" t="s">
        <v>28</v>
      </c>
      <c r="L7" s="43" t="s">
        <v>103</v>
      </c>
    </row>
    <row r="8" spans="1:12" s="5" customFormat="1" x14ac:dyDescent="0.35">
      <c r="A8" s="23">
        <v>4</v>
      </c>
      <c r="B8" s="56" t="s">
        <v>104</v>
      </c>
      <c r="C8" s="62">
        <v>43424</v>
      </c>
      <c r="D8" s="12" t="s">
        <v>105</v>
      </c>
      <c r="E8" s="12">
        <v>20.6</v>
      </c>
      <c r="F8" s="12">
        <v>111.9</v>
      </c>
      <c r="G8" s="12" t="s">
        <v>19</v>
      </c>
      <c r="H8" s="21">
        <f>E8/(F8/100)^2</f>
        <v>16.451558545586391</v>
      </c>
      <c r="I8" s="37" t="s">
        <v>106</v>
      </c>
      <c r="J8" s="44" t="s">
        <v>18</v>
      </c>
      <c r="K8" s="81" t="s">
        <v>31</v>
      </c>
      <c r="L8" s="44" t="s">
        <v>28</v>
      </c>
    </row>
    <row r="9" spans="1:12" x14ac:dyDescent="0.35">
      <c r="A9" s="154" t="s">
        <v>107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4"/>
    </row>
    <row r="10" spans="1:12" s="5" customFormat="1" x14ac:dyDescent="0.35">
      <c r="A10" s="23">
        <v>1</v>
      </c>
      <c r="B10" s="58" t="s">
        <v>108</v>
      </c>
      <c r="C10" s="63">
        <v>41949</v>
      </c>
      <c r="D10" s="12" t="s">
        <v>109</v>
      </c>
      <c r="E10" s="12">
        <v>35.25</v>
      </c>
      <c r="F10" s="12">
        <v>141.80000000000001</v>
      </c>
      <c r="G10" s="12" t="s">
        <v>19</v>
      </c>
      <c r="H10" s="21">
        <f>E10/(F10/100)^2</f>
        <v>17.530998784517411</v>
      </c>
      <c r="I10" s="81" t="s">
        <v>98</v>
      </c>
      <c r="J10" s="44" t="s">
        <v>18</v>
      </c>
      <c r="K10" s="43" t="s">
        <v>28</v>
      </c>
      <c r="L10" s="43" t="s">
        <v>28</v>
      </c>
    </row>
    <row r="11" spans="1:12" x14ac:dyDescent="0.35">
      <c r="A11" s="23">
        <v>2</v>
      </c>
      <c r="B11" s="58" t="s">
        <v>110</v>
      </c>
      <c r="C11" s="63">
        <v>41949</v>
      </c>
      <c r="D11" s="12" t="s">
        <v>109</v>
      </c>
      <c r="E11" s="12">
        <v>33.299999999999997</v>
      </c>
      <c r="F11" s="12">
        <v>135.19999999999999</v>
      </c>
      <c r="G11" s="12" t="s">
        <v>19</v>
      </c>
      <c r="H11" s="21">
        <f>E11/(F11/100)^2</f>
        <v>18.217586919225518</v>
      </c>
      <c r="I11" s="81" t="s">
        <v>98</v>
      </c>
      <c r="J11" s="44" t="s">
        <v>18</v>
      </c>
      <c r="K11" s="81" t="s">
        <v>111</v>
      </c>
      <c r="L11" s="44" t="s">
        <v>28</v>
      </c>
    </row>
    <row r="12" spans="1:12" x14ac:dyDescent="0.35">
      <c r="A12" s="23">
        <v>3</v>
      </c>
      <c r="B12" s="57" t="s">
        <v>112</v>
      </c>
      <c r="C12" s="62">
        <v>43284</v>
      </c>
      <c r="D12" s="12" t="s">
        <v>113</v>
      </c>
      <c r="E12" s="12">
        <v>31.05</v>
      </c>
      <c r="F12" s="12">
        <v>122.8</v>
      </c>
      <c r="G12" s="12" t="s">
        <v>19</v>
      </c>
      <c r="H12" s="21">
        <f>E12/(F12/100)^2</f>
        <v>20.590404142219015</v>
      </c>
      <c r="I12" s="43" t="s">
        <v>18</v>
      </c>
      <c r="J12" s="83" t="s">
        <v>32</v>
      </c>
      <c r="K12" s="43" t="s">
        <v>18</v>
      </c>
      <c r="L12" s="85" t="s">
        <v>58</v>
      </c>
    </row>
    <row r="13" spans="1:12" x14ac:dyDescent="0.35">
      <c r="A13" s="155" t="s">
        <v>114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4"/>
    </row>
    <row r="14" spans="1:12" x14ac:dyDescent="0.35">
      <c r="A14" s="22">
        <v>1</v>
      </c>
      <c r="B14" s="58" t="s">
        <v>115</v>
      </c>
      <c r="C14" s="63" t="s">
        <v>116</v>
      </c>
      <c r="D14" s="12" t="s">
        <v>117</v>
      </c>
      <c r="E14" s="12">
        <v>46.45</v>
      </c>
      <c r="F14" s="12">
        <v>155.9</v>
      </c>
      <c r="G14" s="12">
        <v>73.8</v>
      </c>
      <c r="H14" s="21">
        <f>E14/(F14/100)^2</f>
        <v>19.111443372731568</v>
      </c>
      <c r="I14" s="43" t="s">
        <v>18</v>
      </c>
      <c r="J14" s="44" t="s">
        <v>18</v>
      </c>
      <c r="K14" s="44" t="s">
        <v>28</v>
      </c>
      <c r="L14" s="44" t="s">
        <v>18</v>
      </c>
    </row>
    <row r="15" spans="1:12" x14ac:dyDescent="0.35">
      <c r="A15" s="22">
        <v>2</v>
      </c>
      <c r="B15" s="58" t="s">
        <v>118</v>
      </c>
      <c r="C15" s="63" t="s">
        <v>116</v>
      </c>
      <c r="D15" s="12" t="s">
        <v>117</v>
      </c>
      <c r="E15" s="12">
        <v>41.05</v>
      </c>
      <c r="F15" s="12">
        <v>147.80000000000001</v>
      </c>
      <c r="G15" s="12">
        <v>66.599999999999994</v>
      </c>
      <c r="H15" s="21">
        <f>E15/(F15/100)^2</f>
        <v>18.791623101840059</v>
      </c>
      <c r="I15" s="43" t="s">
        <v>18</v>
      </c>
      <c r="J15" s="44" t="s">
        <v>18</v>
      </c>
      <c r="K15" s="44" t="s">
        <v>28</v>
      </c>
      <c r="L15" s="44" t="s">
        <v>18</v>
      </c>
    </row>
    <row r="16" spans="1:12" x14ac:dyDescent="0.35">
      <c r="A16" s="22">
        <v>3</v>
      </c>
      <c r="B16" s="58" t="s">
        <v>119</v>
      </c>
      <c r="C16" s="63">
        <v>35746</v>
      </c>
      <c r="D16" s="12" t="s">
        <v>120</v>
      </c>
      <c r="E16" s="12">
        <v>88.8</v>
      </c>
      <c r="F16" s="12">
        <v>150.30000000000001</v>
      </c>
      <c r="G16" s="12">
        <v>109.5</v>
      </c>
      <c r="H16" s="21">
        <f>E16/(F16/100)^2</f>
        <v>39.309272340216431</v>
      </c>
      <c r="I16" s="12" t="s">
        <v>19</v>
      </c>
      <c r="J16" s="12" t="s">
        <v>19</v>
      </c>
      <c r="K16" s="12" t="s">
        <v>75</v>
      </c>
      <c r="L16" s="84" t="s">
        <v>121</v>
      </c>
    </row>
    <row r="17" spans="1:12" x14ac:dyDescent="0.35">
      <c r="A17" s="22">
        <v>5</v>
      </c>
      <c r="B17" s="58" t="s">
        <v>122</v>
      </c>
      <c r="C17" s="63">
        <v>40878</v>
      </c>
      <c r="D17" s="12" t="s">
        <v>123</v>
      </c>
      <c r="E17" s="12">
        <v>47.05</v>
      </c>
      <c r="F17" s="12">
        <v>146.5</v>
      </c>
      <c r="G17" s="12">
        <v>69.2</v>
      </c>
      <c r="H17" s="21">
        <f>E17/(F17/100)^2</f>
        <v>21.922212256403682</v>
      </c>
      <c r="I17" s="81" t="s">
        <v>98</v>
      </c>
      <c r="J17" s="44" t="s">
        <v>18</v>
      </c>
      <c r="K17" s="81" t="s">
        <v>31</v>
      </c>
      <c r="L17" s="45" t="s">
        <v>28</v>
      </c>
    </row>
    <row r="18" spans="1:12" x14ac:dyDescent="0.35">
      <c r="A18" s="154" t="s">
        <v>124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4"/>
    </row>
    <row r="19" spans="1:12" x14ac:dyDescent="0.35">
      <c r="A19" s="22">
        <v>1</v>
      </c>
      <c r="B19" s="58" t="s">
        <v>125</v>
      </c>
      <c r="C19" s="63">
        <v>39698</v>
      </c>
      <c r="D19" s="12" t="s">
        <v>126</v>
      </c>
      <c r="E19" s="12">
        <v>49</v>
      </c>
      <c r="F19" s="12">
        <v>151</v>
      </c>
      <c r="G19" s="12">
        <v>72.400000000000006</v>
      </c>
      <c r="H19" s="21">
        <f>E19/(F19/100)^2</f>
        <v>21.490285513793253</v>
      </c>
      <c r="I19" s="81" t="s">
        <v>98</v>
      </c>
      <c r="J19" s="44" t="s">
        <v>18</v>
      </c>
      <c r="K19" s="81" t="s">
        <v>31</v>
      </c>
      <c r="L19" s="44" t="s">
        <v>28</v>
      </c>
    </row>
    <row r="20" spans="1:12" x14ac:dyDescent="0.35">
      <c r="A20" s="23">
        <v>2</v>
      </c>
      <c r="B20" s="58" t="s">
        <v>127</v>
      </c>
      <c r="C20" s="63">
        <v>40374</v>
      </c>
      <c r="D20" s="12" t="s">
        <v>128</v>
      </c>
      <c r="E20" s="12">
        <v>49.1</v>
      </c>
      <c r="F20" s="12">
        <v>148.69999999999999</v>
      </c>
      <c r="G20" s="12">
        <v>69</v>
      </c>
      <c r="H20" s="21">
        <f>E20/(F20/100)^2</f>
        <v>22.20544879201907</v>
      </c>
      <c r="I20" s="81" t="s">
        <v>98</v>
      </c>
      <c r="J20" s="44" t="s">
        <v>18</v>
      </c>
      <c r="K20" s="81" t="s">
        <v>31</v>
      </c>
      <c r="L20" s="44" t="s">
        <v>28</v>
      </c>
    </row>
    <row r="21" spans="1:12" x14ac:dyDescent="0.35">
      <c r="A21" s="23">
        <v>3</v>
      </c>
      <c r="B21" s="58" t="s">
        <v>129</v>
      </c>
      <c r="C21" s="63">
        <v>40092</v>
      </c>
      <c r="D21" s="12" t="s">
        <v>130</v>
      </c>
      <c r="E21" s="12">
        <v>51.45</v>
      </c>
      <c r="F21" s="12">
        <v>144.9</v>
      </c>
      <c r="G21" s="12">
        <v>76.8</v>
      </c>
      <c r="H21" s="21">
        <f>E21/(F21/100)^2</f>
        <v>24.504655884618074</v>
      </c>
      <c r="I21" s="82" t="s">
        <v>106</v>
      </c>
      <c r="J21" s="85" t="s">
        <v>17</v>
      </c>
      <c r="K21" s="82" t="s">
        <v>75</v>
      </c>
      <c r="L21" s="44" t="s">
        <v>28</v>
      </c>
    </row>
    <row r="22" spans="1:12" x14ac:dyDescent="0.35">
      <c r="A22" s="23">
        <v>4</v>
      </c>
      <c r="B22" s="58" t="s">
        <v>131</v>
      </c>
      <c r="C22" s="63">
        <v>39880</v>
      </c>
      <c r="D22" s="12" t="s">
        <v>132</v>
      </c>
      <c r="E22" s="12">
        <v>45.45</v>
      </c>
      <c r="F22" s="12">
        <v>157.30000000000001</v>
      </c>
      <c r="G22" s="12">
        <v>64.400000000000006</v>
      </c>
      <c r="H22" s="21">
        <f>E22/(F22/100)^2</f>
        <v>18.368616299610924</v>
      </c>
      <c r="I22" s="43" t="s">
        <v>18</v>
      </c>
      <c r="J22" s="86" t="s">
        <v>37</v>
      </c>
      <c r="K22" s="44" t="s">
        <v>28</v>
      </c>
      <c r="L22" s="44" t="s">
        <v>28</v>
      </c>
    </row>
    <row r="23" spans="1:12" x14ac:dyDescent="0.35">
      <c r="A23" s="22">
        <v>4</v>
      </c>
      <c r="B23" s="58" t="s">
        <v>133</v>
      </c>
      <c r="C23" s="64" t="s">
        <v>134</v>
      </c>
      <c r="D23" s="12" t="s">
        <v>135</v>
      </c>
      <c r="E23" s="12">
        <v>77.3</v>
      </c>
      <c r="F23" s="12">
        <v>150.69999999999999</v>
      </c>
      <c r="G23" s="12">
        <v>99</v>
      </c>
      <c r="H23" s="21">
        <f>E23/(F23/100)^2</f>
        <v>34.037134381512686</v>
      </c>
      <c r="I23" s="81" t="s">
        <v>98</v>
      </c>
      <c r="J23" s="84" t="s">
        <v>136</v>
      </c>
      <c r="K23" s="44" t="s">
        <v>28</v>
      </c>
      <c r="L23" s="84" t="s">
        <v>137</v>
      </c>
    </row>
  </sheetData>
  <mergeCells count="8">
    <mergeCell ref="A18:L18"/>
    <mergeCell ref="A4:L4"/>
    <mergeCell ref="B1:L1"/>
    <mergeCell ref="K2:L2"/>
    <mergeCell ref="A2:H2"/>
    <mergeCell ref="I2:J2"/>
    <mergeCell ref="A13:L13"/>
    <mergeCell ref="A9:L9"/>
  </mergeCells>
  <pageMargins left="0" right="0" top="0.74803149606299213" bottom="0.74803149606299213" header="0.31496062992125978" footer="0.31496062992125978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M29"/>
  <sheetViews>
    <sheetView zoomScale="96" zoomScaleNormal="96" workbookViewId="0">
      <selection activeCell="H35" sqref="H35"/>
    </sheetView>
  </sheetViews>
  <sheetFormatPr baseColWidth="10" defaultRowHeight="14.5" x14ac:dyDescent="0.35"/>
  <cols>
    <col min="1" max="1" width="2.81640625" customWidth="1"/>
    <col min="2" max="2" width="28" style="59" customWidth="1"/>
    <col min="3" max="3" width="13" style="59" customWidth="1"/>
    <col min="4" max="4" width="15.26953125" style="59" customWidth="1"/>
    <col min="5" max="5" width="8" style="59" customWidth="1"/>
    <col min="6" max="6" width="8.453125" style="59" customWidth="1"/>
    <col min="7" max="7" width="6.453125" style="59" customWidth="1"/>
    <col min="8" max="8" width="12" style="59" customWidth="1"/>
    <col min="9" max="9" width="11.7265625" style="59" customWidth="1"/>
    <col min="10" max="10" width="11.54296875" style="59" customWidth="1"/>
    <col min="11" max="11" width="11.81640625" style="59" customWidth="1"/>
    <col min="12" max="12" width="12" style="59" customWidth="1"/>
    <col min="13" max="13" width="12.81640625" style="59" customWidth="1"/>
  </cols>
  <sheetData>
    <row r="1" spans="1:13" s="33" customFormat="1" x14ac:dyDescent="0.35">
      <c r="A1" s="174" t="s">
        <v>138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1"/>
    </row>
    <row r="2" spans="1:13" s="33" customFormat="1" ht="15" customHeight="1" x14ac:dyDescent="0.35">
      <c r="A2" s="175" t="s">
        <v>1</v>
      </c>
      <c r="B2" s="173"/>
      <c r="C2" s="173"/>
      <c r="D2" s="173"/>
      <c r="E2" s="173"/>
      <c r="F2" s="173"/>
      <c r="G2" s="173"/>
      <c r="H2" s="171"/>
      <c r="I2" s="172" t="s">
        <v>139</v>
      </c>
      <c r="J2" s="173"/>
      <c r="K2" s="171"/>
      <c r="L2" s="170" t="s">
        <v>140</v>
      </c>
      <c r="M2" s="171"/>
    </row>
    <row r="3" spans="1:13" s="33" customFormat="1" ht="16.5" customHeight="1" x14ac:dyDescent="0.35">
      <c r="A3" s="36" t="s">
        <v>4</v>
      </c>
      <c r="B3" s="66" t="s">
        <v>5</v>
      </c>
      <c r="C3" s="66" t="s">
        <v>6</v>
      </c>
      <c r="D3" s="66" t="s">
        <v>7</v>
      </c>
      <c r="E3" s="66" t="s">
        <v>8</v>
      </c>
      <c r="F3" s="66" t="s">
        <v>9</v>
      </c>
      <c r="G3" s="66" t="s">
        <v>141</v>
      </c>
      <c r="H3" s="70" t="s">
        <v>10</v>
      </c>
      <c r="I3" s="71" t="s">
        <v>11</v>
      </c>
      <c r="J3" s="71" t="s">
        <v>12</v>
      </c>
      <c r="K3" s="71" t="s">
        <v>94</v>
      </c>
      <c r="L3" s="72" t="s">
        <v>12</v>
      </c>
      <c r="M3" s="72" t="s">
        <v>94</v>
      </c>
    </row>
    <row r="4" spans="1:13" x14ac:dyDescent="0.35">
      <c r="A4" s="155" t="s">
        <v>142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4"/>
    </row>
    <row r="5" spans="1:13" x14ac:dyDescent="0.35">
      <c r="A5" s="28">
        <v>1</v>
      </c>
      <c r="B5" s="78" t="s">
        <v>143</v>
      </c>
      <c r="C5" s="67">
        <v>43400</v>
      </c>
      <c r="D5" s="29" t="s">
        <v>144</v>
      </c>
      <c r="E5" s="29">
        <v>22.75</v>
      </c>
      <c r="F5" s="29">
        <v>121</v>
      </c>
      <c r="G5" s="29" t="s">
        <v>19</v>
      </c>
      <c r="H5" s="73">
        <f>E5/(F5/100)^2</f>
        <v>15.538556109555358</v>
      </c>
      <c r="I5" s="29" t="s">
        <v>28</v>
      </c>
      <c r="J5" s="29" t="s">
        <v>28</v>
      </c>
      <c r="K5" s="29" t="s">
        <v>18</v>
      </c>
      <c r="L5" s="29" t="s">
        <v>18</v>
      </c>
      <c r="M5" s="29" t="s">
        <v>28</v>
      </c>
    </row>
    <row r="6" spans="1:13" ht="16.5" customHeight="1" x14ac:dyDescent="0.35">
      <c r="A6" s="4">
        <v>3</v>
      </c>
      <c r="B6" s="57" t="s">
        <v>145</v>
      </c>
      <c r="C6" s="62">
        <v>43223</v>
      </c>
      <c r="D6" s="9" t="s">
        <v>146</v>
      </c>
      <c r="E6" s="9">
        <v>20.85</v>
      </c>
      <c r="F6" s="9">
        <v>114</v>
      </c>
      <c r="G6" s="9" t="s">
        <v>19</v>
      </c>
      <c r="H6" s="74">
        <f>E6/(F6/100)^2</f>
        <v>16.043397968605728</v>
      </c>
      <c r="I6" s="106" t="s">
        <v>37</v>
      </c>
      <c r="J6" s="107" t="s">
        <v>75</v>
      </c>
      <c r="K6" s="9" t="s">
        <v>18</v>
      </c>
      <c r="L6" s="119" t="s">
        <v>31</v>
      </c>
      <c r="M6" s="9" t="s">
        <v>28</v>
      </c>
    </row>
    <row r="7" spans="1:13" x14ac:dyDescent="0.35">
      <c r="A7" s="166" t="s">
        <v>147</v>
      </c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5"/>
    </row>
    <row r="8" spans="1:13" ht="16.5" customHeight="1" x14ac:dyDescent="0.35">
      <c r="A8" s="7">
        <v>1</v>
      </c>
      <c r="B8" s="57" t="s">
        <v>148</v>
      </c>
      <c r="C8" s="62">
        <v>43336</v>
      </c>
      <c r="D8" s="7" t="s">
        <v>149</v>
      </c>
      <c r="E8" s="7">
        <v>18.45</v>
      </c>
      <c r="F8" s="7">
        <v>114.4</v>
      </c>
      <c r="G8" s="7" t="s">
        <v>19</v>
      </c>
      <c r="H8" s="74">
        <f>E8/(F8/100)^2</f>
        <v>14.097572008411165</v>
      </c>
      <c r="I8" s="121" t="s">
        <v>150</v>
      </c>
      <c r="J8" s="118" t="s">
        <v>75</v>
      </c>
      <c r="K8" s="117" t="s">
        <v>37</v>
      </c>
      <c r="L8" s="120" t="s">
        <v>31</v>
      </c>
      <c r="M8" s="7" t="s">
        <v>28</v>
      </c>
    </row>
    <row r="9" spans="1:13" x14ac:dyDescent="0.35">
      <c r="A9" s="19">
        <v>2</v>
      </c>
      <c r="B9" s="57" t="s">
        <v>151</v>
      </c>
      <c r="C9" s="62">
        <v>43326</v>
      </c>
      <c r="D9" s="7" t="s">
        <v>152</v>
      </c>
      <c r="E9" s="7">
        <v>24.45</v>
      </c>
      <c r="F9" s="7">
        <v>122</v>
      </c>
      <c r="G9" s="7" t="s">
        <v>19</v>
      </c>
      <c r="H9" s="74">
        <f>E9/(F9/100)^2</f>
        <v>16.427035743079816</v>
      </c>
      <c r="I9" s="7" t="s">
        <v>28</v>
      </c>
      <c r="J9" s="7" t="s">
        <v>28</v>
      </c>
      <c r="K9" s="75" t="s">
        <v>18</v>
      </c>
      <c r="L9" s="7" t="s">
        <v>18</v>
      </c>
      <c r="M9" s="75" t="s">
        <v>28</v>
      </c>
    </row>
    <row r="10" spans="1:13" ht="16.5" customHeight="1" x14ac:dyDescent="0.35">
      <c r="A10" s="19">
        <v>3</v>
      </c>
      <c r="B10" s="57" t="s">
        <v>153</v>
      </c>
      <c r="C10" s="62">
        <v>43193</v>
      </c>
      <c r="D10" s="7" t="s">
        <v>154</v>
      </c>
      <c r="E10" s="7">
        <v>33.4</v>
      </c>
      <c r="F10" s="43">
        <v>120</v>
      </c>
      <c r="G10" s="43" t="s">
        <v>19</v>
      </c>
      <c r="H10" s="74">
        <f>E10/(F10/100)^2</f>
        <v>23.194444444444443</v>
      </c>
      <c r="I10" s="95" t="s">
        <v>137</v>
      </c>
      <c r="J10" s="120" t="s">
        <v>31</v>
      </c>
      <c r="K10" s="95" t="s">
        <v>136</v>
      </c>
      <c r="L10" s="7" t="s">
        <v>18</v>
      </c>
      <c r="M10" s="95" t="s">
        <v>137</v>
      </c>
    </row>
    <row r="11" spans="1:13" x14ac:dyDescent="0.35">
      <c r="A11" s="163" t="s">
        <v>155</v>
      </c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5"/>
    </row>
    <row r="12" spans="1:13" x14ac:dyDescent="0.35">
      <c r="A12" s="7">
        <v>1</v>
      </c>
      <c r="B12" s="58" t="s">
        <v>156</v>
      </c>
      <c r="C12" s="63">
        <v>41762</v>
      </c>
      <c r="D12" s="7" t="s">
        <v>157</v>
      </c>
      <c r="E12" s="76">
        <v>30.3</v>
      </c>
      <c r="F12" s="76">
        <v>127.5</v>
      </c>
      <c r="G12" s="76" t="s">
        <v>19</v>
      </c>
      <c r="H12" s="74">
        <f>E12/(F12/100)^2</f>
        <v>18.638985005767015</v>
      </c>
      <c r="I12" s="7" t="s">
        <v>19</v>
      </c>
      <c r="J12" s="118" t="s">
        <v>75</v>
      </c>
      <c r="K12" s="7" t="s">
        <v>18</v>
      </c>
      <c r="L12" s="118" t="s">
        <v>75</v>
      </c>
      <c r="M12" s="7" t="s">
        <v>28</v>
      </c>
    </row>
    <row r="13" spans="1:13" x14ac:dyDescent="0.35">
      <c r="A13" s="19">
        <v>3</v>
      </c>
      <c r="B13" s="58" t="s">
        <v>158</v>
      </c>
      <c r="C13" s="63">
        <v>41671</v>
      </c>
      <c r="D13" s="7" t="s">
        <v>159</v>
      </c>
      <c r="E13" s="76">
        <v>32.799999999999997</v>
      </c>
      <c r="F13" s="7">
        <v>130</v>
      </c>
      <c r="G13" s="7" t="s">
        <v>19</v>
      </c>
      <c r="H13" s="74">
        <f>E13/(F13/100)^2</f>
        <v>19.408284023668635</v>
      </c>
      <c r="I13" s="7" t="s">
        <v>19</v>
      </c>
      <c r="J13" s="118" t="s">
        <v>75</v>
      </c>
      <c r="K13" s="7" t="s">
        <v>18</v>
      </c>
      <c r="L13" s="118" t="s">
        <v>75</v>
      </c>
      <c r="M13" s="7" t="s">
        <v>28</v>
      </c>
    </row>
    <row r="14" spans="1:13" x14ac:dyDescent="0.35">
      <c r="A14" s="155" t="s">
        <v>160</v>
      </c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4"/>
    </row>
    <row r="15" spans="1:13" ht="16.5" customHeight="1" x14ac:dyDescent="0.35">
      <c r="A15" s="19">
        <v>1</v>
      </c>
      <c r="B15" s="58" t="s">
        <v>161</v>
      </c>
      <c r="C15" s="63">
        <v>41125</v>
      </c>
      <c r="D15" s="7" t="s">
        <v>162</v>
      </c>
      <c r="E15" s="76">
        <v>39.75</v>
      </c>
      <c r="F15" s="7">
        <v>151.5</v>
      </c>
      <c r="G15" s="7" t="s">
        <v>19</v>
      </c>
      <c r="H15" s="74">
        <f>E15/(F15/100)^2</f>
        <v>17.31856353952227</v>
      </c>
      <c r="I15" s="7" t="s">
        <v>19</v>
      </c>
      <c r="J15" s="120" t="s">
        <v>31</v>
      </c>
      <c r="K15" s="7" t="s">
        <v>18</v>
      </c>
      <c r="L15" s="7" t="s">
        <v>18</v>
      </c>
      <c r="M15" s="7" t="s">
        <v>28</v>
      </c>
    </row>
    <row r="16" spans="1:13" x14ac:dyDescent="0.35">
      <c r="A16" s="19">
        <v>2</v>
      </c>
      <c r="B16" s="58" t="s">
        <v>163</v>
      </c>
      <c r="C16" s="63">
        <v>42786</v>
      </c>
      <c r="D16" s="7" t="s">
        <v>164</v>
      </c>
      <c r="E16" s="7">
        <v>47.4</v>
      </c>
      <c r="F16" s="12">
        <v>138</v>
      </c>
      <c r="G16" s="77" t="s">
        <v>19</v>
      </c>
      <c r="H16" s="74">
        <f>E16/(F16/100)^2</f>
        <v>24.889729048519222</v>
      </c>
      <c r="I16" s="95" t="s">
        <v>137</v>
      </c>
      <c r="J16" s="7" t="s">
        <v>28</v>
      </c>
      <c r="K16" s="95" t="s">
        <v>136</v>
      </c>
      <c r="L16" s="7" t="s">
        <v>18</v>
      </c>
      <c r="M16" s="95" t="s">
        <v>137</v>
      </c>
    </row>
    <row r="17" spans="1:13" ht="16.5" customHeight="1" x14ac:dyDescent="0.35">
      <c r="A17" s="19">
        <v>3</v>
      </c>
      <c r="B17" s="58" t="s">
        <v>165</v>
      </c>
      <c r="C17" s="63">
        <v>41271</v>
      </c>
      <c r="D17" s="7" t="s">
        <v>166</v>
      </c>
      <c r="E17" s="43">
        <v>33.549999999999997</v>
      </c>
      <c r="F17" s="43">
        <v>134</v>
      </c>
      <c r="G17" s="43" t="s">
        <v>19</v>
      </c>
      <c r="H17" s="74">
        <f>E17/(F17/100)^2</f>
        <v>18.684562263310308</v>
      </c>
      <c r="I17" s="7" t="s">
        <v>19</v>
      </c>
      <c r="J17" s="96" t="s">
        <v>167</v>
      </c>
      <c r="K17" s="7" t="s">
        <v>18</v>
      </c>
      <c r="L17" s="96" t="s">
        <v>38</v>
      </c>
      <c r="M17" s="7" t="s">
        <v>28</v>
      </c>
    </row>
    <row r="18" spans="1:13" x14ac:dyDescent="0.35">
      <c r="A18" s="163" t="s">
        <v>168</v>
      </c>
      <c r="B18" s="164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5"/>
    </row>
    <row r="19" spans="1:13" x14ac:dyDescent="0.35">
      <c r="A19" s="7">
        <v>1</v>
      </c>
      <c r="B19" s="58" t="s">
        <v>169</v>
      </c>
      <c r="C19" s="68">
        <v>40797</v>
      </c>
      <c r="D19" s="7" t="s">
        <v>170</v>
      </c>
      <c r="E19" s="7">
        <v>54.95</v>
      </c>
      <c r="F19" s="7">
        <v>161.19999999999999</v>
      </c>
      <c r="G19" s="7">
        <v>72</v>
      </c>
      <c r="H19" s="74">
        <f>E19/(F19/100)^2</f>
        <v>21.146457400759815</v>
      </c>
      <c r="I19" s="7" t="s">
        <v>19</v>
      </c>
      <c r="J19" s="7" t="s">
        <v>28</v>
      </c>
      <c r="K19" s="7" t="s">
        <v>18</v>
      </c>
      <c r="L19" s="7" t="s">
        <v>18</v>
      </c>
      <c r="M19" s="7" t="s">
        <v>28</v>
      </c>
    </row>
    <row r="20" spans="1:13" ht="16.5" customHeight="1" x14ac:dyDescent="0.35">
      <c r="A20" s="20">
        <v>2</v>
      </c>
      <c r="B20" s="58" t="s">
        <v>171</v>
      </c>
      <c r="C20" s="63">
        <v>40565</v>
      </c>
      <c r="D20" s="7" t="s">
        <v>172</v>
      </c>
      <c r="E20" s="76">
        <v>53</v>
      </c>
      <c r="F20" s="7">
        <v>159.19999999999999</v>
      </c>
      <c r="G20" s="7">
        <v>74</v>
      </c>
      <c r="H20" s="74">
        <f>E20/(F20/100)^2</f>
        <v>20.911719401025231</v>
      </c>
      <c r="I20" s="7" t="s">
        <v>19</v>
      </c>
      <c r="J20" s="120" t="s">
        <v>31</v>
      </c>
      <c r="K20" s="7" t="s">
        <v>18</v>
      </c>
      <c r="L20" s="7" t="s">
        <v>18</v>
      </c>
      <c r="M20" s="7" t="s">
        <v>18</v>
      </c>
    </row>
    <row r="21" spans="1:13" x14ac:dyDescent="0.35">
      <c r="A21" s="19">
        <v>3</v>
      </c>
      <c r="B21" s="58" t="s">
        <v>173</v>
      </c>
      <c r="C21" s="63">
        <v>41065</v>
      </c>
      <c r="D21" s="7" t="s">
        <v>174</v>
      </c>
      <c r="E21" s="43">
        <v>74.3</v>
      </c>
      <c r="F21" s="43">
        <v>158.6</v>
      </c>
      <c r="G21" s="43">
        <v>95.7</v>
      </c>
      <c r="H21" s="74">
        <f>E21/(F21/100)^2</f>
        <v>29.5380926104677</v>
      </c>
      <c r="I21" s="7" t="s">
        <v>19</v>
      </c>
      <c r="J21" s="7" t="s">
        <v>28</v>
      </c>
      <c r="K21" s="123" t="s">
        <v>32</v>
      </c>
      <c r="L21" s="7" t="s">
        <v>18</v>
      </c>
      <c r="M21" s="123" t="s">
        <v>22</v>
      </c>
    </row>
    <row r="22" spans="1:13" ht="16.5" customHeight="1" x14ac:dyDescent="0.35">
      <c r="A22" s="19">
        <v>4</v>
      </c>
      <c r="B22" s="58" t="s">
        <v>175</v>
      </c>
      <c r="C22" s="63">
        <v>40099</v>
      </c>
      <c r="D22" s="7" t="s">
        <v>176</v>
      </c>
      <c r="E22" s="7">
        <v>51.3</v>
      </c>
      <c r="F22" s="7">
        <v>155.69999999999999</v>
      </c>
      <c r="G22" s="7">
        <v>69</v>
      </c>
      <c r="H22" s="74">
        <f>E22/(F22/100)^2</f>
        <v>21.161192600265075</v>
      </c>
      <c r="I22" s="7" t="s">
        <v>19</v>
      </c>
      <c r="J22" s="118" t="s">
        <v>75</v>
      </c>
      <c r="K22" s="7" t="s">
        <v>18</v>
      </c>
      <c r="L22" s="120" t="s">
        <v>31</v>
      </c>
      <c r="M22" s="7" t="s">
        <v>18</v>
      </c>
    </row>
    <row r="23" spans="1:13" x14ac:dyDescent="0.35">
      <c r="A23" s="20">
        <v>5</v>
      </c>
      <c r="B23" s="58" t="s">
        <v>177</v>
      </c>
      <c r="C23" s="63">
        <v>41093</v>
      </c>
      <c r="D23" s="7" t="s">
        <v>178</v>
      </c>
      <c r="E23" s="76">
        <v>70.95</v>
      </c>
      <c r="F23" s="76">
        <v>163.19999999999999</v>
      </c>
      <c r="G23" s="76">
        <v>95</v>
      </c>
      <c r="H23" s="74">
        <f>E23/(F23/100)^2</f>
        <v>26.638642589388702</v>
      </c>
      <c r="I23" s="7" t="s">
        <v>19</v>
      </c>
      <c r="J23" s="7" t="s">
        <v>28</v>
      </c>
      <c r="K23" s="123" t="s">
        <v>32</v>
      </c>
      <c r="L23" s="7" t="s">
        <v>18</v>
      </c>
      <c r="M23" s="123" t="s">
        <v>22</v>
      </c>
    </row>
    <row r="24" spans="1:13" x14ac:dyDescent="0.35">
      <c r="A24" s="167" t="s">
        <v>179</v>
      </c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9"/>
    </row>
    <row r="25" spans="1:13" ht="16.5" customHeight="1" x14ac:dyDescent="0.35">
      <c r="A25" s="20">
        <v>1</v>
      </c>
      <c r="B25" s="58" t="s">
        <v>180</v>
      </c>
      <c r="C25" s="63">
        <v>40186</v>
      </c>
      <c r="D25" s="7" t="s">
        <v>181</v>
      </c>
      <c r="E25" s="7">
        <v>65.400000000000006</v>
      </c>
      <c r="F25" s="7">
        <v>162.30000000000001</v>
      </c>
      <c r="G25" s="7">
        <v>77.5</v>
      </c>
      <c r="H25" s="74">
        <f>E25/(F25/100)^2</f>
        <v>24.827941228390863</v>
      </c>
      <c r="I25" s="7" t="s">
        <v>19</v>
      </c>
      <c r="J25" s="120" t="s">
        <v>31</v>
      </c>
      <c r="K25" s="122" t="s">
        <v>17</v>
      </c>
      <c r="L25" s="120" t="s">
        <v>31</v>
      </c>
      <c r="M25" s="122" t="s">
        <v>182</v>
      </c>
    </row>
    <row r="26" spans="1:13" x14ac:dyDescent="0.35">
      <c r="A26" s="19">
        <v>2</v>
      </c>
      <c r="B26" s="58" t="s">
        <v>183</v>
      </c>
      <c r="C26" s="63">
        <v>40037</v>
      </c>
      <c r="D26" s="7" t="s">
        <v>184</v>
      </c>
      <c r="E26" s="7">
        <v>63.35</v>
      </c>
      <c r="F26" s="7">
        <v>167.9</v>
      </c>
      <c r="G26" s="7">
        <v>75.400000000000006</v>
      </c>
      <c r="H26" s="74">
        <f>E26/(F26/100)^2</f>
        <v>22.472181142452342</v>
      </c>
      <c r="I26" s="7" t="s">
        <v>19</v>
      </c>
      <c r="J26" s="7" t="s">
        <v>28</v>
      </c>
      <c r="K26" s="7" t="s">
        <v>18</v>
      </c>
      <c r="L26" s="7" t="s">
        <v>18</v>
      </c>
      <c r="M26" s="7" t="s">
        <v>28</v>
      </c>
    </row>
    <row r="27" spans="1:13" ht="16.5" customHeight="1" x14ac:dyDescent="0.35">
      <c r="A27" s="20">
        <v>3</v>
      </c>
      <c r="B27" s="58" t="s">
        <v>185</v>
      </c>
      <c r="C27" s="63">
        <v>39739</v>
      </c>
      <c r="D27" s="7" t="s">
        <v>186</v>
      </c>
      <c r="E27" s="7">
        <v>54.75</v>
      </c>
      <c r="F27" s="7">
        <v>154.30000000000001</v>
      </c>
      <c r="G27" s="7">
        <v>70.900000000000006</v>
      </c>
      <c r="H27" s="74">
        <f>E27/(F27/100)^2</f>
        <v>22.995998486254269</v>
      </c>
      <c r="I27" s="7" t="s">
        <v>19</v>
      </c>
      <c r="J27" s="118" t="s">
        <v>106</v>
      </c>
      <c r="K27" s="7" t="s">
        <v>18</v>
      </c>
      <c r="L27" s="120" t="s">
        <v>31</v>
      </c>
      <c r="M27" s="7" t="s">
        <v>28</v>
      </c>
    </row>
    <row r="28" spans="1:13" x14ac:dyDescent="0.35">
      <c r="A28" s="7">
        <v>4</v>
      </c>
      <c r="B28" s="79" t="s">
        <v>187</v>
      </c>
      <c r="C28" s="69">
        <v>40602</v>
      </c>
      <c r="D28" s="7" t="s">
        <v>188</v>
      </c>
      <c r="E28" s="7">
        <v>95.45</v>
      </c>
      <c r="F28" s="7">
        <v>168</v>
      </c>
      <c r="G28" s="7">
        <v>110</v>
      </c>
      <c r="H28" s="74">
        <f>E28/(F28/100)^2</f>
        <v>33.818735827664405</v>
      </c>
      <c r="I28" s="7" t="s">
        <v>19</v>
      </c>
      <c r="J28" s="7" t="s">
        <v>28</v>
      </c>
      <c r="K28" s="123" t="s">
        <v>32</v>
      </c>
      <c r="L28" s="7" t="s">
        <v>18</v>
      </c>
      <c r="M28" s="123" t="s">
        <v>22</v>
      </c>
    </row>
    <row r="29" spans="1:13" ht="16.5" customHeight="1" x14ac:dyDescent="0.35">
      <c r="A29" s="7">
        <v>5</v>
      </c>
      <c r="B29" s="58" t="s">
        <v>189</v>
      </c>
      <c r="C29" s="68">
        <v>40863</v>
      </c>
      <c r="D29" s="7" t="s">
        <v>190</v>
      </c>
      <c r="E29" s="7">
        <v>55.65</v>
      </c>
      <c r="F29" s="7">
        <v>159.1</v>
      </c>
      <c r="G29" s="7">
        <v>73</v>
      </c>
      <c r="H29" s="74">
        <f>E29/(F29/100)^2</f>
        <v>21.984915937819625</v>
      </c>
      <c r="I29" s="7" t="s">
        <v>19</v>
      </c>
      <c r="J29" s="7" t="s">
        <v>28</v>
      </c>
      <c r="K29" s="122" t="s">
        <v>17</v>
      </c>
      <c r="L29" s="7" t="s">
        <v>18</v>
      </c>
      <c r="M29" s="7" t="s">
        <v>28</v>
      </c>
    </row>
  </sheetData>
  <mergeCells count="10">
    <mergeCell ref="L2:M2"/>
    <mergeCell ref="A14:M14"/>
    <mergeCell ref="I2:K2"/>
    <mergeCell ref="A1:M1"/>
    <mergeCell ref="A2:H2"/>
    <mergeCell ref="A18:M18"/>
    <mergeCell ref="A4:M4"/>
    <mergeCell ref="A7:M7"/>
    <mergeCell ref="A24:M24"/>
    <mergeCell ref="A11:M11"/>
  </mergeCells>
  <pageMargins left="0" right="0" top="0.74803149606299213" bottom="0.74803149606299213" header="0.31496062992125978" footer="0.31496062992125978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L23"/>
  <sheetViews>
    <sheetView zoomScale="112" zoomScaleNormal="112" workbookViewId="0">
      <selection activeCell="A24" sqref="A24:XFD25"/>
    </sheetView>
  </sheetViews>
  <sheetFormatPr baseColWidth="10" defaultRowHeight="14.5" x14ac:dyDescent="0.35"/>
  <cols>
    <col min="1" max="1" width="2.26953125" customWidth="1"/>
    <col min="2" max="2" width="27.7265625" customWidth="1"/>
    <col min="3" max="3" width="9.54296875" customWidth="1"/>
    <col min="4" max="4" width="11.453125" style="59" customWidth="1"/>
    <col min="5" max="6" width="5.26953125" customWidth="1"/>
    <col min="7" max="7" width="6" customWidth="1"/>
    <col min="8" max="8" width="10" customWidth="1"/>
    <col min="9" max="9" width="13.1796875" customWidth="1"/>
    <col min="10" max="10" width="12.54296875" customWidth="1"/>
    <col min="11" max="11" width="12.81640625" customWidth="1"/>
    <col min="12" max="12" width="13.81640625" customWidth="1"/>
  </cols>
  <sheetData>
    <row r="1" spans="1:12" ht="15" customHeight="1" x14ac:dyDescent="0.35">
      <c r="A1" s="180" t="s">
        <v>191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81"/>
    </row>
    <row r="2" spans="1:12" ht="15" customHeight="1" x14ac:dyDescent="0.35">
      <c r="A2" s="183" t="s">
        <v>1</v>
      </c>
      <c r="B2" s="143"/>
      <c r="C2" s="143"/>
      <c r="D2" s="143"/>
      <c r="E2" s="143"/>
      <c r="F2" s="143"/>
      <c r="G2" s="144"/>
      <c r="H2" s="184" t="s">
        <v>192</v>
      </c>
      <c r="I2" s="143"/>
      <c r="J2" s="144"/>
      <c r="K2" s="179" t="s">
        <v>193</v>
      </c>
      <c r="L2" s="144"/>
    </row>
    <row r="3" spans="1:12" ht="16.5" customHeight="1" x14ac:dyDescent="0.35">
      <c r="A3" s="14" t="s">
        <v>4</v>
      </c>
      <c r="B3" s="15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94</v>
      </c>
      <c r="K3" s="15" t="s">
        <v>12</v>
      </c>
      <c r="L3" s="101" t="s">
        <v>10</v>
      </c>
    </row>
    <row r="4" spans="1:12" x14ac:dyDescent="0.35">
      <c r="A4" s="178" t="s">
        <v>194</v>
      </c>
      <c r="B4" s="143"/>
      <c r="C4" s="143"/>
      <c r="D4" s="143"/>
      <c r="E4" s="143"/>
      <c r="F4" s="143"/>
      <c r="G4" s="143"/>
      <c r="H4" s="143"/>
      <c r="I4" s="143"/>
      <c r="J4" s="143"/>
      <c r="K4" s="144"/>
      <c r="L4" s="98"/>
    </row>
    <row r="5" spans="1:12" x14ac:dyDescent="0.35">
      <c r="A5" s="13">
        <v>1</v>
      </c>
      <c r="B5" s="108" t="s">
        <v>195</v>
      </c>
      <c r="C5" s="109">
        <v>42904</v>
      </c>
      <c r="D5" s="13" t="s">
        <v>196</v>
      </c>
      <c r="E5" s="13">
        <v>25.5</v>
      </c>
      <c r="F5" s="13">
        <v>132.30000000000001</v>
      </c>
      <c r="G5" s="21">
        <f t="shared" ref="G5:G12" si="0">E5/(F5/100)^2</f>
        <v>14.568689657772905</v>
      </c>
      <c r="H5" s="13" t="s">
        <v>18</v>
      </c>
      <c r="I5" s="13" t="s">
        <v>18</v>
      </c>
      <c r="J5" s="13" t="s">
        <v>28</v>
      </c>
      <c r="K5" s="13" t="s">
        <v>28</v>
      </c>
      <c r="L5" s="13" t="s">
        <v>28</v>
      </c>
    </row>
    <row r="6" spans="1:12" ht="15.75" customHeight="1" x14ac:dyDescent="0.35">
      <c r="A6" s="30">
        <v>2</v>
      </c>
      <c r="B6" s="110" t="s">
        <v>197</v>
      </c>
      <c r="C6" s="111">
        <v>43367</v>
      </c>
      <c r="D6" s="13" t="s">
        <v>198</v>
      </c>
      <c r="E6" s="13">
        <v>26.55</v>
      </c>
      <c r="F6" s="13">
        <v>116.5</v>
      </c>
      <c r="G6" s="21">
        <f t="shared" si="0"/>
        <v>19.561973880528281</v>
      </c>
      <c r="H6" s="13" t="s">
        <v>18</v>
      </c>
      <c r="I6" s="124" t="s">
        <v>31</v>
      </c>
      <c r="J6" s="126" t="s">
        <v>58</v>
      </c>
      <c r="K6" s="13" t="s">
        <v>28</v>
      </c>
      <c r="L6" s="126" t="s">
        <v>58</v>
      </c>
    </row>
    <row r="7" spans="1:12" ht="15" customHeight="1" x14ac:dyDescent="0.35">
      <c r="A7" s="30">
        <v>3</v>
      </c>
      <c r="B7" s="110" t="s">
        <v>199</v>
      </c>
      <c r="C7" s="111">
        <v>43233</v>
      </c>
      <c r="D7" s="13" t="s">
        <v>146</v>
      </c>
      <c r="E7" s="13">
        <v>30.45</v>
      </c>
      <c r="F7" s="13">
        <v>116.5</v>
      </c>
      <c r="G7" s="21">
        <f t="shared" si="0"/>
        <v>22.43548416806351</v>
      </c>
      <c r="H7" s="13" t="s">
        <v>17</v>
      </c>
      <c r="I7" s="124" t="s">
        <v>31</v>
      </c>
      <c r="J7" s="128" t="s">
        <v>32</v>
      </c>
      <c r="K7" s="13" t="s">
        <v>28</v>
      </c>
      <c r="L7" s="128" t="s">
        <v>22</v>
      </c>
    </row>
    <row r="8" spans="1:12" ht="15.75" customHeight="1" x14ac:dyDescent="0.35">
      <c r="A8" s="30">
        <v>4</v>
      </c>
      <c r="B8" s="112" t="s">
        <v>200</v>
      </c>
      <c r="C8" s="113">
        <v>43083</v>
      </c>
      <c r="D8" s="13" t="s">
        <v>201</v>
      </c>
      <c r="E8" s="13">
        <v>26.8</v>
      </c>
      <c r="F8" s="13">
        <v>125.5</v>
      </c>
      <c r="G8" s="21">
        <f t="shared" si="0"/>
        <v>17.015602926937671</v>
      </c>
      <c r="H8" s="13" t="s">
        <v>18</v>
      </c>
      <c r="I8" s="13" t="s">
        <v>18</v>
      </c>
      <c r="J8" s="13" t="s">
        <v>28</v>
      </c>
      <c r="K8" s="13" t="s">
        <v>28</v>
      </c>
      <c r="L8" s="13" t="s">
        <v>28</v>
      </c>
    </row>
    <row r="9" spans="1:12" ht="15.75" customHeight="1" x14ac:dyDescent="0.35">
      <c r="A9" s="30">
        <v>5</v>
      </c>
      <c r="B9" s="112" t="s">
        <v>202</v>
      </c>
      <c r="C9" s="113">
        <v>42755</v>
      </c>
      <c r="D9" s="13" t="s">
        <v>203</v>
      </c>
      <c r="E9" s="13">
        <v>37.950000000000003</v>
      </c>
      <c r="F9" s="13">
        <v>135.5</v>
      </c>
      <c r="G9" s="21">
        <f t="shared" si="0"/>
        <v>20.669653190996858</v>
      </c>
      <c r="H9" s="13" t="s">
        <v>17</v>
      </c>
      <c r="I9" s="13" t="s">
        <v>18</v>
      </c>
      <c r="J9" s="126" t="s">
        <v>58</v>
      </c>
      <c r="K9" s="13" t="s">
        <v>18</v>
      </c>
      <c r="L9" s="126" t="s">
        <v>58</v>
      </c>
    </row>
    <row r="10" spans="1:12" ht="15.75" customHeight="1" x14ac:dyDescent="0.35">
      <c r="A10" s="30">
        <v>6</v>
      </c>
      <c r="B10" s="112" t="s">
        <v>204</v>
      </c>
      <c r="C10" s="113">
        <v>42631</v>
      </c>
      <c r="D10" s="13" t="s">
        <v>205</v>
      </c>
      <c r="E10" s="13">
        <v>32.85</v>
      </c>
      <c r="F10" s="13">
        <v>128</v>
      </c>
      <c r="G10" s="21">
        <f t="shared" si="0"/>
        <v>20.050048828125</v>
      </c>
      <c r="H10" s="13" t="s">
        <v>18</v>
      </c>
      <c r="I10" s="124" t="s">
        <v>31</v>
      </c>
      <c r="J10" s="126" t="s">
        <v>58</v>
      </c>
      <c r="K10" s="13" t="s">
        <v>18</v>
      </c>
      <c r="L10" s="126" t="s">
        <v>58</v>
      </c>
    </row>
    <row r="11" spans="1:12" ht="15.75" customHeight="1" x14ac:dyDescent="0.35">
      <c r="A11" s="30">
        <v>7</v>
      </c>
      <c r="B11" s="114" t="s">
        <v>206</v>
      </c>
      <c r="C11" s="115">
        <v>43465</v>
      </c>
      <c r="D11" s="13" t="s">
        <v>207</v>
      </c>
      <c r="E11" s="13">
        <v>22.85</v>
      </c>
      <c r="F11" s="13">
        <v>125.5</v>
      </c>
      <c r="G11" s="21">
        <f t="shared" si="0"/>
        <v>14.507706226885292</v>
      </c>
      <c r="H11" s="13" t="s">
        <v>18</v>
      </c>
      <c r="I11" s="13" t="s">
        <v>28</v>
      </c>
      <c r="J11" s="13" t="s">
        <v>28</v>
      </c>
      <c r="K11" s="13" t="s">
        <v>18</v>
      </c>
      <c r="L11" s="13" t="s">
        <v>28</v>
      </c>
    </row>
    <row r="12" spans="1:12" ht="15.75" customHeight="1" x14ac:dyDescent="0.35">
      <c r="A12" s="30">
        <v>8</v>
      </c>
      <c r="B12" s="112" t="s">
        <v>208</v>
      </c>
      <c r="C12" s="113">
        <v>42591</v>
      </c>
      <c r="D12" s="13" t="s">
        <v>209</v>
      </c>
      <c r="E12" s="13">
        <v>31.95</v>
      </c>
      <c r="F12" s="13">
        <v>133.30000000000001</v>
      </c>
      <c r="G12" s="21">
        <f t="shared" si="0"/>
        <v>17.980864308350153</v>
      </c>
      <c r="H12" s="13" t="s">
        <v>18</v>
      </c>
      <c r="I12" s="13" t="s">
        <v>28</v>
      </c>
      <c r="J12" s="13" t="s">
        <v>28</v>
      </c>
      <c r="K12" s="13" t="s">
        <v>18</v>
      </c>
      <c r="L12" s="13" t="s">
        <v>28</v>
      </c>
    </row>
    <row r="13" spans="1:12" x14ac:dyDescent="0.35">
      <c r="A13" s="177" t="s">
        <v>210</v>
      </c>
      <c r="B13" s="164"/>
      <c r="C13" s="164"/>
      <c r="D13" s="164"/>
      <c r="E13" s="164"/>
      <c r="F13" s="164"/>
      <c r="G13" s="164"/>
      <c r="H13" s="164"/>
      <c r="I13" s="164"/>
      <c r="J13" s="164"/>
      <c r="K13" s="165"/>
      <c r="L13" s="99"/>
    </row>
    <row r="14" spans="1:12" x14ac:dyDescent="0.35">
      <c r="A14" s="13">
        <v>1</v>
      </c>
      <c r="B14" s="57" t="s">
        <v>211</v>
      </c>
      <c r="C14" s="63">
        <v>42034</v>
      </c>
      <c r="D14" s="13" t="s">
        <v>212</v>
      </c>
      <c r="E14" s="13">
        <v>26.5</v>
      </c>
      <c r="F14" s="13">
        <v>130</v>
      </c>
      <c r="G14" s="21">
        <f>E14/(F14/100)^2</f>
        <v>15.680473372781064</v>
      </c>
      <c r="H14" s="97" t="s">
        <v>19</v>
      </c>
      <c r="I14" s="125" t="s">
        <v>75</v>
      </c>
      <c r="J14" s="127" t="s">
        <v>39</v>
      </c>
      <c r="K14" s="124" t="s">
        <v>31</v>
      </c>
      <c r="L14" s="13" t="s">
        <v>28</v>
      </c>
    </row>
    <row r="15" spans="1:12" x14ac:dyDescent="0.35">
      <c r="A15" s="30">
        <v>2</v>
      </c>
      <c r="B15" s="57" t="s">
        <v>213</v>
      </c>
      <c r="C15" s="91">
        <v>42284</v>
      </c>
      <c r="D15" s="13" t="s">
        <v>214</v>
      </c>
      <c r="E15" s="13">
        <v>36.049999999999997</v>
      </c>
      <c r="F15" s="13">
        <v>138.80000000000001</v>
      </c>
      <c r="G15" s="21">
        <f>E15/(F15/100)^2</f>
        <v>18.712264033419427</v>
      </c>
      <c r="H15" s="97" t="s">
        <v>19</v>
      </c>
      <c r="I15" s="13" t="s">
        <v>28</v>
      </c>
      <c r="J15" s="13" t="s">
        <v>28</v>
      </c>
      <c r="K15" s="13" t="s">
        <v>28</v>
      </c>
      <c r="L15" s="13" t="s">
        <v>28</v>
      </c>
    </row>
    <row r="16" spans="1:12" x14ac:dyDescent="0.35">
      <c r="A16" s="30">
        <v>3</v>
      </c>
      <c r="B16" s="57" t="s">
        <v>215</v>
      </c>
      <c r="C16" s="63">
        <v>41521</v>
      </c>
      <c r="D16" s="13" t="s">
        <v>216</v>
      </c>
      <c r="E16" s="182" t="s">
        <v>217</v>
      </c>
      <c r="F16" s="143"/>
      <c r="G16" s="143"/>
      <c r="H16" s="143"/>
      <c r="I16" s="143"/>
      <c r="J16" s="143"/>
      <c r="K16" s="143"/>
      <c r="L16" s="144"/>
    </row>
    <row r="17" spans="1:12" x14ac:dyDescent="0.35">
      <c r="A17" s="30">
        <v>4</v>
      </c>
      <c r="B17" s="57" t="s">
        <v>218</v>
      </c>
      <c r="C17" s="63">
        <v>42315</v>
      </c>
      <c r="D17" s="13" t="s">
        <v>219</v>
      </c>
      <c r="E17" s="13">
        <v>33.25</v>
      </c>
      <c r="F17" s="13">
        <v>133.6</v>
      </c>
      <c r="G17" s="21">
        <f>E17/(F17/100)^2</f>
        <v>18.628536340492673</v>
      </c>
      <c r="H17" s="97" t="s">
        <v>19</v>
      </c>
      <c r="I17" s="124" t="s">
        <v>31</v>
      </c>
      <c r="J17" s="13" t="s">
        <v>28</v>
      </c>
      <c r="K17" s="13" t="s">
        <v>28</v>
      </c>
      <c r="L17" s="13" t="s">
        <v>28</v>
      </c>
    </row>
    <row r="18" spans="1:12" x14ac:dyDescent="0.35">
      <c r="A18" s="30">
        <v>5</v>
      </c>
      <c r="B18" s="58" t="s">
        <v>220</v>
      </c>
      <c r="C18" s="63">
        <v>41491</v>
      </c>
      <c r="D18" s="13" t="s">
        <v>221</v>
      </c>
      <c r="E18" s="176" t="s">
        <v>222</v>
      </c>
      <c r="F18" s="143"/>
      <c r="G18" s="143"/>
      <c r="H18" s="143"/>
      <c r="I18" s="143"/>
      <c r="J18" s="143"/>
      <c r="K18" s="143"/>
      <c r="L18" s="144"/>
    </row>
    <row r="19" spans="1:12" x14ac:dyDescent="0.35">
      <c r="A19" s="30">
        <v>6</v>
      </c>
      <c r="B19" s="58" t="s">
        <v>223</v>
      </c>
      <c r="C19" s="63">
        <v>41767</v>
      </c>
      <c r="D19" s="13" t="s">
        <v>157</v>
      </c>
      <c r="E19" s="13">
        <v>44.95</v>
      </c>
      <c r="F19" s="13">
        <v>140.30000000000001</v>
      </c>
      <c r="G19" s="21">
        <f>E19/(F19/100)^2</f>
        <v>22.83570132020327</v>
      </c>
      <c r="H19" s="97" t="s">
        <v>19</v>
      </c>
      <c r="I19" s="124" t="s">
        <v>31</v>
      </c>
      <c r="J19" s="126" t="s">
        <v>58</v>
      </c>
      <c r="K19" s="13" t="s">
        <v>18</v>
      </c>
      <c r="L19" s="126" t="s">
        <v>58</v>
      </c>
    </row>
    <row r="20" spans="1:12" x14ac:dyDescent="0.35">
      <c r="A20" s="30">
        <v>7</v>
      </c>
      <c r="B20" s="57" t="s">
        <v>224</v>
      </c>
      <c r="C20" s="63">
        <v>40996</v>
      </c>
      <c r="D20" s="13" t="s">
        <v>225</v>
      </c>
      <c r="E20" s="13">
        <v>57.65</v>
      </c>
      <c r="F20" s="13">
        <v>155.4</v>
      </c>
      <c r="G20" s="21">
        <f>E20/(F20/100)^2</f>
        <v>23.872465957408039</v>
      </c>
      <c r="H20" s="97" t="s">
        <v>19</v>
      </c>
      <c r="I20" s="13" t="s">
        <v>28</v>
      </c>
      <c r="J20" s="126" t="s">
        <v>58</v>
      </c>
      <c r="K20" s="13" t="s">
        <v>18</v>
      </c>
      <c r="L20" s="126" t="s">
        <v>58</v>
      </c>
    </row>
    <row r="21" spans="1:12" x14ac:dyDescent="0.35">
      <c r="A21" s="30">
        <v>8</v>
      </c>
      <c r="B21" s="57" t="s">
        <v>226</v>
      </c>
      <c r="C21" s="63">
        <v>42029</v>
      </c>
      <c r="D21" s="13" t="s">
        <v>227</v>
      </c>
      <c r="E21" s="13">
        <v>59.7</v>
      </c>
      <c r="F21" s="13">
        <v>157.5</v>
      </c>
      <c r="G21" s="21">
        <f>E21/(F21/100)^2</f>
        <v>24.066515495086925</v>
      </c>
      <c r="H21" s="97" t="s">
        <v>19</v>
      </c>
      <c r="I21" s="13" t="s">
        <v>228</v>
      </c>
      <c r="J21" s="128" t="s">
        <v>22</v>
      </c>
      <c r="K21" s="13" t="s">
        <v>28</v>
      </c>
      <c r="L21" s="128" t="s">
        <v>22</v>
      </c>
    </row>
    <row r="22" spans="1:12" x14ac:dyDescent="0.35">
      <c r="A22" s="30">
        <v>9</v>
      </c>
      <c r="B22" s="57" t="s">
        <v>229</v>
      </c>
      <c r="C22" s="63">
        <v>41639</v>
      </c>
      <c r="D22" s="13" t="s">
        <v>230</v>
      </c>
      <c r="E22" s="176" t="s">
        <v>217</v>
      </c>
      <c r="F22" s="143"/>
      <c r="G22" s="143"/>
      <c r="H22" s="143"/>
      <c r="I22" s="143"/>
      <c r="J22" s="143"/>
      <c r="K22" s="143"/>
      <c r="L22" s="144"/>
    </row>
    <row r="23" spans="1:12" x14ac:dyDescent="0.35">
      <c r="A23" s="30">
        <v>10</v>
      </c>
      <c r="B23" s="58" t="s">
        <v>231</v>
      </c>
      <c r="C23" s="62">
        <v>42311</v>
      </c>
      <c r="D23" s="13" t="s">
        <v>219</v>
      </c>
      <c r="E23" s="13">
        <v>36.200000000000003</v>
      </c>
      <c r="F23" s="13">
        <v>133</v>
      </c>
      <c r="G23" s="21">
        <f>E23/(F23/100)^2</f>
        <v>20.464695573520267</v>
      </c>
      <c r="H23" s="97" t="s">
        <v>19</v>
      </c>
      <c r="I23" s="124" t="s">
        <v>31</v>
      </c>
      <c r="J23" s="126" t="s">
        <v>58</v>
      </c>
      <c r="K23" s="13" t="s">
        <v>18</v>
      </c>
      <c r="L23" s="13" t="s">
        <v>28</v>
      </c>
    </row>
  </sheetData>
  <mergeCells count="9">
    <mergeCell ref="A1:L1"/>
    <mergeCell ref="E16:L16"/>
    <mergeCell ref="A2:G2"/>
    <mergeCell ref="H2:J2"/>
    <mergeCell ref="E22:L22"/>
    <mergeCell ref="A13:K13"/>
    <mergeCell ref="E18:L18"/>
    <mergeCell ref="A4:K4"/>
    <mergeCell ref="K2:L2"/>
  </mergeCells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L31"/>
  <sheetViews>
    <sheetView zoomScale="98" zoomScaleNormal="98" workbookViewId="0">
      <selection activeCell="E34" sqref="E34"/>
    </sheetView>
  </sheetViews>
  <sheetFormatPr baseColWidth="10" defaultRowHeight="14.5" x14ac:dyDescent="0.35"/>
  <cols>
    <col min="1" max="1" width="2.7265625" customWidth="1"/>
    <col min="2" max="2" width="26.1796875" customWidth="1"/>
    <col min="3" max="3" width="8.81640625" style="59" customWidth="1"/>
    <col min="4" max="4" width="10.26953125" customWidth="1"/>
    <col min="5" max="5" width="8.1796875" customWidth="1"/>
    <col min="6" max="7" width="8.26953125" customWidth="1"/>
    <col min="8" max="8" width="13.7265625" customWidth="1"/>
    <col min="9" max="9" width="14.54296875" customWidth="1"/>
    <col min="10" max="10" width="13.453125" customWidth="1"/>
    <col min="11" max="11" width="13.7265625" customWidth="1"/>
    <col min="12" max="12" width="15.26953125" customWidth="1"/>
  </cols>
  <sheetData>
    <row r="1" spans="1:12" ht="15.75" customHeight="1" thickBot="1" x14ac:dyDescent="0.4">
      <c r="A1" s="195" t="s">
        <v>232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7"/>
    </row>
    <row r="2" spans="1:12" ht="12" customHeight="1" thickBot="1" x14ac:dyDescent="0.4">
      <c r="A2" s="186" t="s">
        <v>1</v>
      </c>
      <c r="B2" s="187"/>
      <c r="C2" s="187"/>
      <c r="D2" s="187"/>
      <c r="E2" s="187"/>
      <c r="F2" s="187"/>
      <c r="G2" s="188"/>
      <c r="H2" s="192" t="s">
        <v>139</v>
      </c>
      <c r="I2" s="187"/>
      <c r="J2" s="193"/>
      <c r="K2" s="194" t="s">
        <v>193</v>
      </c>
      <c r="L2" s="193"/>
    </row>
    <row r="3" spans="1:12" ht="17.25" customHeight="1" thickBot="1" x14ac:dyDescent="0.4">
      <c r="A3" s="16" t="s">
        <v>4</v>
      </c>
      <c r="B3" s="17" t="s">
        <v>5</v>
      </c>
      <c r="C3" s="18" t="s">
        <v>6</v>
      </c>
      <c r="D3" s="17" t="s">
        <v>7</v>
      </c>
      <c r="E3" s="17" t="s">
        <v>8</v>
      </c>
      <c r="F3" s="17" t="s">
        <v>9</v>
      </c>
      <c r="G3" s="17" t="s">
        <v>10</v>
      </c>
      <c r="H3" s="17" t="s">
        <v>11</v>
      </c>
      <c r="I3" s="17" t="s">
        <v>12</v>
      </c>
      <c r="J3" s="17" t="s">
        <v>94</v>
      </c>
      <c r="K3" s="17" t="s">
        <v>12</v>
      </c>
      <c r="L3" s="17" t="s">
        <v>10</v>
      </c>
    </row>
    <row r="4" spans="1:12" x14ac:dyDescent="0.35">
      <c r="A4" s="145" t="s">
        <v>233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7"/>
    </row>
    <row r="5" spans="1:12" x14ac:dyDescent="0.35">
      <c r="A5" s="41">
        <v>1</v>
      </c>
      <c r="B5" s="139" t="s">
        <v>234</v>
      </c>
      <c r="C5" s="63">
        <v>42647</v>
      </c>
      <c r="D5" s="9" t="s">
        <v>205</v>
      </c>
      <c r="E5" s="9">
        <v>24.45</v>
      </c>
      <c r="F5" s="9">
        <v>123.3</v>
      </c>
      <c r="G5" s="21">
        <f t="shared" ref="G5:G16" si="0">E5/(F5/100)^2</f>
        <v>16.082468530654371</v>
      </c>
      <c r="H5" s="129" t="s">
        <v>39</v>
      </c>
      <c r="I5" s="102" t="s">
        <v>31</v>
      </c>
      <c r="J5" s="9" t="s">
        <v>18</v>
      </c>
      <c r="K5" s="9" t="s">
        <v>18</v>
      </c>
      <c r="L5" s="9" t="s">
        <v>28</v>
      </c>
    </row>
    <row r="6" spans="1:12" x14ac:dyDescent="0.35">
      <c r="A6" s="27">
        <v>2</v>
      </c>
      <c r="B6" s="140" t="s">
        <v>235</v>
      </c>
      <c r="C6" s="62">
        <v>43357</v>
      </c>
      <c r="D6" s="9" t="s">
        <v>149</v>
      </c>
      <c r="E6" s="9">
        <v>25.3</v>
      </c>
      <c r="F6" s="9">
        <v>118.9</v>
      </c>
      <c r="G6" s="21">
        <f t="shared" si="0"/>
        <v>17.896034648986607</v>
      </c>
      <c r="H6" s="9" t="s">
        <v>28</v>
      </c>
      <c r="I6" s="102" t="s">
        <v>31</v>
      </c>
      <c r="J6" s="130" t="s">
        <v>17</v>
      </c>
      <c r="K6" s="9" t="s">
        <v>28</v>
      </c>
      <c r="L6" s="130" t="s">
        <v>58</v>
      </c>
    </row>
    <row r="7" spans="1:12" x14ac:dyDescent="0.35">
      <c r="A7" s="27">
        <v>3</v>
      </c>
      <c r="B7" s="92" t="s">
        <v>236</v>
      </c>
      <c r="C7" s="63">
        <v>42615</v>
      </c>
      <c r="D7" s="9" t="s">
        <v>237</v>
      </c>
      <c r="E7" s="9">
        <v>30.65</v>
      </c>
      <c r="F7" s="9">
        <v>134.1</v>
      </c>
      <c r="G7" s="21">
        <f t="shared" si="0"/>
        <v>17.044054850159679</v>
      </c>
      <c r="H7" s="9" t="s">
        <v>28</v>
      </c>
      <c r="I7" s="9" t="s">
        <v>18</v>
      </c>
      <c r="J7" s="9" t="s">
        <v>18</v>
      </c>
      <c r="K7" s="9" t="s">
        <v>28</v>
      </c>
      <c r="L7" s="9" t="s">
        <v>28</v>
      </c>
    </row>
    <row r="8" spans="1:12" x14ac:dyDescent="0.35">
      <c r="A8" s="27">
        <v>4</v>
      </c>
      <c r="B8" s="92" t="s">
        <v>238</v>
      </c>
      <c r="C8" s="63">
        <v>42651</v>
      </c>
      <c r="D8" s="9" t="s">
        <v>205</v>
      </c>
      <c r="E8" s="9">
        <v>23.9</v>
      </c>
      <c r="F8" s="9">
        <v>120.8</v>
      </c>
      <c r="G8" s="21">
        <f t="shared" si="0"/>
        <v>16.378119380728915</v>
      </c>
      <c r="H8" s="129" t="s">
        <v>39</v>
      </c>
      <c r="I8" s="134" t="s">
        <v>106</v>
      </c>
      <c r="J8" s="9" t="s">
        <v>18</v>
      </c>
      <c r="K8" s="102" t="s">
        <v>31</v>
      </c>
      <c r="L8" s="9" t="s">
        <v>28</v>
      </c>
    </row>
    <row r="9" spans="1:12" x14ac:dyDescent="0.35">
      <c r="A9" s="27">
        <v>5</v>
      </c>
      <c r="B9" s="92" t="s">
        <v>239</v>
      </c>
      <c r="C9" s="63">
        <v>42841</v>
      </c>
      <c r="D9" s="9" t="s">
        <v>240</v>
      </c>
      <c r="E9" s="9">
        <v>28.85</v>
      </c>
      <c r="F9" s="9">
        <v>131.1</v>
      </c>
      <c r="G9" s="21">
        <f t="shared" si="0"/>
        <v>16.785737766629953</v>
      </c>
      <c r="H9" s="9" t="s">
        <v>28</v>
      </c>
      <c r="I9" s="9" t="s">
        <v>18</v>
      </c>
      <c r="J9" s="9" t="s">
        <v>18</v>
      </c>
      <c r="K9" s="9" t="s">
        <v>28</v>
      </c>
      <c r="L9" s="9" t="s">
        <v>28</v>
      </c>
    </row>
    <row r="10" spans="1:12" x14ac:dyDescent="0.35">
      <c r="A10" s="27">
        <v>6</v>
      </c>
      <c r="B10" s="92" t="s">
        <v>241</v>
      </c>
      <c r="C10" s="63">
        <v>43184</v>
      </c>
      <c r="D10" s="9" t="s">
        <v>242</v>
      </c>
      <c r="E10" s="9">
        <v>28.4</v>
      </c>
      <c r="F10" s="9">
        <v>117.5</v>
      </c>
      <c r="G10" s="21">
        <f t="shared" si="0"/>
        <v>20.570393843368034</v>
      </c>
      <c r="H10" s="9" t="s">
        <v>28</v>
      </c>
      <c r="I10" s="102" t="s">
        <v>31</v>
      </c>
      <c r="J10" s="131" t="s">
        <v>32</v>
      </c>
      <c r="K10" s="9" t="s">
        <v>28</v>
      </c>
      <c r="L10" s="131" t="s">
        <v>22</v>
      </c>
    </row>
    <row r="11" spans="1:12" x14ac:dyDescent="0.35">
      <c r="A11" s="27">
        <v>7</v>
      </c>
      <c r="B11" s="92" t="s">
        <v>243</v>
      </c>
      <c r="C11" s="63">
        <v>42376</v>
      </c>
      <c r="D11" s="9" t="s">
        <v>244</v>
      </c>
      <c r="E11" s="9">
        <v>27.6</v>
      </c>
      <c r="F11" s="9">
        <v>123.4</v>
      </c>
      <c r="G11" s="21">
        <f t="shared" si="0"/>
        <v>18.125031193441366</v>
      </c>
      <c r="H11" s="9" t="s">
        <v>19</v>
      </c>
      <c r="I11" s="134" t="s">
        <v>106</v>
      </c>
      <c r="J11" s="9" t="s">
        <v>18</v>
      </c>
      <c r="K11" s="102" t="s">
        <v>31</v>
      </c>
      <c r="L11" s="9" t="s">
        <v>28</v>
      </c>
    </row>
    <row r="12" spans="1:12" x14ac:dyDescent="0.35">
      <c r="A12" s="27">
        <v>8</v>
      </c>
      <c r="B12" s="92" t="s">
        <v>245</v>
      </c>
      <c r="C12" s="63">
        <v>42745</v>
      </c>
      <c r="D12" s="9" t="s">
        <v>246</v>
      </c>
      <c r="E12" s="9">
        <v>41.95</v>
      </c>
      <c r="F12" s="9">
        <v>145.5</v>
      </c>
      <c r="G12" s="21">
        <f t="shared" si="0"/>
        <v>19.815543037989631</v>
      </c>
      <c r="H12" s="131" t="s">
        <v>22</v>
      </c>
      <c r="I12" s="9" t="s">
        <v>18</v>
      </c>
      <c r="J12" s="130" t="s">
        <v>17</v>
      </c>
      <c r="K12" s="9" t="s">
        <v>28</v>
      </c>
      <c r="L12" s="130" t="s">
        <v>58</v>
      </c>
    </row>
    <row r="13" spans="1:12" x14ac:dyDescent="0.35">
      <c r="A13" s="141">
        <v>9</v>
      </c>
      <c r="B13" s="140" t="s">
        <v>247</v>
      </c>
      <c r="C13" s="62">
        <v>43498</v>
      </c>
      <c r="D13" s="26" t="s">
        <v>248</v>
      </c>
      <c r="E13" s="9">
        <v>22.45</v>
      </c>
      <c r="F13" s="9">
        <v>115.4</v>
      </c>
      <c r="G13" s="21">
        <f t="shared" si="0"/>
        <v>16.857948691763102</v>
      </c>
      <c r="H13" s="9" t="s">
        <v>28</v>
      </c>
      <c r="I13" s="102" t="s">
        <v>31</v>
      </c>
      <c r="J13" s="9" t="s">
        <v>18</v>
      </c>
      <c r="K13" s="9" t="s">
        <v>28</v>
      </c>
      <c r="L13" s="9" t="s">
        <v>28</v>
      </c>
    </row>
    <row r="14" spans="1:12" x14ac:dyDescent="0.35">
      <c r="A14" s="141">
        <v>10</v>
      </c>
      <c r="B14" s="140" t="s">
        <v>249</v>
      </c>
      <c r="C14" s="62">
        <v>43403</v>
      </c>
      <c r="D14" s="26" t="s">
        <v>144</v>
      </c>
      <c r="E14" s="9">
        <v>21.1</v>
      </c>
      <c r="F14" s="9">
        <v>114.8</v>
      </c>
      <c r="G14" s="21">
        <f t="shared" si="0"/>
        <v>16.010270854326269</v>
      </c>
      <c r="H14" s="129" t="s">
        <v>39</v>
      </c>
      <c r="I14" s="102" t="s">
        <v>31</v>
      </c>
      <c r="J14" s="9" t="s">
        <v>18</v>
      </c>
      <c r="K14" s="9" t="s">
        <v>28</v>
      </c>
      <c r="L14" s="9" t="s">
        <v>28</v>
      </c>
    </row>
    <row r="15" spans="1:12" x14ac:dyDescent="0.35">
      <c r="A15" s="27">
        <v>11</v>
      </c>
      <c r="B15" s="92" t="s">
        <v>250</v>
      </c>
      <c r="C15" s="63">
        <v>43106</v>
      </c>
      <c r="D15" s="9" t="s">
        <v>251</v>
      </c>
      <c r="E15" s="9">
        <v>26.9</v>
      </c>
      <c r="F15" s="9">
        <v>129.9</v>
      </c>
      <c r="G15" s="21">
        <f t="shared" si="0"/>
        <v>15.9416759857319</v>
      </c>
      <c r="H15" s="9" t="s">
        <v>28</v>
      </c>
      <c r="I15" s="9" t="s">
        <v>18</v>
      </c>
      <c r="J15" s="9" t="s">
        <v>18</v>
      </c>
      <c r="K15" s="9" t="s">
        <v>28</v>
      </c>
      <c r="L15" s="9" t="s">
        <v>28</v>
      </c>
    </row>
    <row r="16" spans="1:12" x14ac:dyDescent="0.35">
      <c r="A16" s="27">
        <v>12</v>
      </c>
      <c r="B16" s="92" t="s">
        <v>252</v>
      </c>
      <c r="C16" s="63">
        <v>42190</v>
      </c>
      <c r="D16" s="9" t="s">
        <v>253</v>
      </c>
      <c r="E16" s="9">
        <v>37.25</v>
      </c>
      <c r="F16" s="9">
        <v>140.5</v>
      </c>
      <c r="G16" s="21">
        <f t="shared" si="0"/>
        <v>18.870075100366002</v>
      </c>
      <c r="H16" s="9" t="s">
        <v>19</v>
      </c>
      <c r="I16" s="9" t="s">
        <v>18</v>
      </c>
      <c r="J16" s="9" t="s">
        <v>18</v>
      </c>
      <c r="K16" s="9" t="s">
        <v>28</v>
      </c>
      <c r="L16" s="9" t="s">
        <v>28</v>
      </c>
    </row>
    <row r="17" spans="1:12" ht="12.75" customHeight="1" x14ac:dyDescent="0.35">
      <c r="A17" s="189" t="s">
        <v>254</v>
      </c>
      <c r="B17" s="190"/>
      <c r="C17" s="168"/>
      <c r="D17" s="190"/>
      <c r="E17" s="190"/>
      <c r="F17" s="190"/>
      <c r="G17" s="190"/>
      <c r="H17" s="190"/>
      <c r="I17" s="190"/>
      <c r="J17" s="190"/>
      <c r="K17" s="190"/>
      <c r="L17" s="191"/>
    </row>
    <row r="18" spans="1:12" x14ac:dyDescent="0.35">
      <c r="A18" s="9">
        <v>1</v>
      </c>
      <c r="B18" s="58" t="s">
        <v>255</v>
      </c>
      <c r="C18" s="63">
        <v>41636</v>
      </c>
      <c r="D18" s="9" t="s">
        <v>230</v>
      </c>
      <c r="E18" s="9">
        <v>36.200000000000003</v>
      </c>
      <c r="F18" s="9">
        <v>141</v>
      </c>
      <c r="G18" s="21">
        <f>E18/(F18/100)^2</f>
        <v>18.208339620743427</v>
      </c>
      <c r="H18" s="9" t="s">
        <v>19</v>
      </c>
      <c r="I18" s="102" t="s">
        <v>31</v>
      </c>
      <c r="J18" s="9" t="s">
        <v>18</v>
      </c>
      <c r="K18" s="9" t="s">
        <v>28</v>
      </c>
      <c r="L18" s="9" t="s">
        <v>28</v>
      </c>
    </row>
    <row r="19" spans="1:12" x14ac:dyDescent="0.35">
      <c r="A19" s="4">
        <v>2</v>
      </c>
      <c r="B19" s="58" t="s">
        <v>256</v>
      </c>
      <c r="C19" s="63">
        <v>41606</v>
      </c>
      <c r="D19" s="9" t="s">
        <v>257</v>
      </c>
      <c r="E19" s="182" t="s">
        <v>217</v>
      </c>
      <c r="F19" s="143"/>
      <c r="G19" s="143"/>
      <c r="H19" s="143"/>
      <c r="I19" s="143"/>
      <c r="J19" s="143"/>
      <c r="K19" s="143"/>
      <c r="L19" s="144"/>
    </row>
    <row r="20" spans="1:12" x14ac:dyDescent="0.35">
      <c r="A20" s="4">
        <v>4</v>
      </c>
      <c r="B20" s="58" t="s">
        <v>258</v>
      </c>
      <c r="C20" s="63">
        <v>41304</v>
      </c>
      <c r="D20" s="9" t="s">
        <v>259</v>
      </c>
      <c r="E20" s="182" t="s">
        <v>217</v>
      </c>
      <c r="F20" s="143"/>
      <c r="G20" s="143"/>
      <c r="H20" s="143"/>
      <c r="I20" s="143"/>
      <c r="J20" s="143"/>
      <c r="K20" s="143"/>
      <c r="L20" s="144"/>
    </row>
    <row r="21" spans="1:12" x14ac:dyDescent="0.35">
      <c r="A21" s="4">
        <v>5</v>
      </c>
      <c r="B21" s="58" t="s">
        <v>260</v>
      </c>
      <c r="C21" s="63">
        <v>41693</v>
      </c>
      <c r="D21" s="9" t="s">
        <v>261</v>
      </c>
      <c r="E21" s="182" t="s">
        <v>217</v>
      </c>
      <c r="F21" s="143"/>
      <c r="G21" s="143"/>
      <c r="H21" s="143"/>
      <c r="I21" s="143"/>
      <c r="J21" s="143"/>
      <c r="K21" s="143"/>
      <c r="L21" s="144"/>
    </row>
    <row r="22" spans="1:12" x14ac:dyDescent="0.35">
      <c r="A22" s="4">
        <v>6</v>
      </c>
      <c r="B22" s="58" t="s">
        <v>262</v>
      </c>
      <c r="C22" s="63">
        <v>41693</v>
      </c>
      <c r="D22" s="9" t="s">
        <v>261</v>
      </c>
      <c r="E22" s="9">
        <v>59.85</v>
      </c>
      <c r="F22" s="9">
        <v>160.19999999999999</v>
      </c>
      <c r="G22" s="21">
        <f>E22/(F22/100)^2</f>
        <v>23.320568390635305</v>
      </c>
      <c r="H22" s="9" t="s">
        <v>19</v>
      </c>
      <c r="I22" s="9" t="s">
        <v>263</v>
      </c>
      <c r="J22" s="130" t="s">
        <v>17</v>
      </c>
      <c r="K22" s="9" t="s">
        <v>28</v>
      </c>
      <c r="L22" s="130" t="s">
        <v>58</v>
      </c>
    </row>
    <row r="23" spans="1:12" x14ac:dyDescent="0.35">
      <c r="A23" s="4">
        <v>7</v>
      </c>
      <c r="B23" s="58" t="s">
        <v>264</v>
      </c>
      <c r="C23" s="69">
        <v>42179</v>
      </c>
      <c r="D23" s="9" t="s">
        <v>265</v>
      </c>
      <c r="E23" s="9">
        <v>39.1</v>
      </c>
      <c r="F23" s="9">
        <v>139.30000000000001</v>
      </c>
      <c r="G23" s="21">
        <f>E23/(F23/100)^2</f>
        <v>20.149975598431084</v>
      </c>
      <c r="H23" s="9" t="s">
        <v>19</v>
      </c>
      <c r="I23" s="9" t="s">
        <v>18</v>
      </c>
      <c r="J23" s="130" t="s">
        <v>17</v>
      </c>
      <c r="K23" s="9" t="s">
        <v>28</v>
      </c>
      <c r="L23" s="130" t="s">
        <v>18</v>
      </c>
    </row>
    <row r="24" spans="1:12" x14ac:dyDescent="0.35">
      <c r="A24" s="4">
        <v>8</v>
      </c>
      <c r="B24" s="58" t="s">
        <v>266</v>
      </c>
      <c r="C24" s="63">
        <v>41776</v>
      </c>
      <c r="D24" s="9" t="s">
        <v>157</v>
      </c>
      <c r="E24" s="9">
        <v>43.7</v>
      </c>
      <c r="F24" s="9">
        <v>141.9</v>
      </c>
      <c r="G24" s="21">
        <f>E24/(F24/100)^2</f>
        <v>21.70284386715873</v>
      </c>
      <c r="H24" s="9" t="s">
        <v>19</v>
      </c>
      <c r="I24" s="102" t="s">
        <v>31</v>
      </c>
      <c r="J24" s="130" t="s">
        <v>17</v>
      </c>
      <c r="K24" s="9" t="s">
        <v>28</v>
      </c>
      <c r="L24" s="130" t="s">
        <v>58</v>
      </c>
    </row>
    <row r="25" spans="1:12" x14ac:dyDescent="0.35">
      <c r="A25" s="4">
        <v>9</v>
      </c>
      <c r="B25" s="58" t="s">
        <v>267</v>
      </c>
      <c r="C25" s="63">
        <v>42180</v>
      </c>
      <c r="D25" s="9" t="s">
        <v>265</v>
      </c>
      <c r="E25" s="9">
        <v>46.95</v>
      </c>
      <c r="F25" s="9">
        <v>139.9</v>
      </c>
      <c r="G25" s="21">
        <f>E25/(F25/100)^2</f>
        <v>23.988338448631492</v>
      </c>
      <c r="H25" s="9" t="s">
        <v>19</v>
      </c>
      <c r="I25" s="9" t="s">
        <v>18</v>
      </c>
      <c r="J25" s="130" t="s">
        <v>32</v>
      </c>
      <c r="K25" s="9" t="s">
        <v>28</v>
      </c>
      <c r="L25" s="130" t="s">
        <v>22</v>
      </c>
    </row>
    <row r="26" spans="1:12" x14ac:dyDescent="0.35">
      <c r="A26" s="4">
        <v>10</v>
      </c>
      <c r="B26" s="58" t="s">
        <v>268</v>
      </c>
      <c r="C26" s="69">
        <v>42018</v>
      </c>
      <c r="D26" s="9" t="s">
        <v>269</v>
      </c>
      <c r="E26" s="9">
        <v>44.3</v>
      </c>
      <c r="F26" s="9">
        <v>147.6</v>
      </c>
      <c r="G26" s="21">
        <f>E26/(F26/100)^2</f>
        <v>20.334383560637772</v>
      </c>
      <c r="H26" s="9" t="s">
        <v>19</v>
      </c>
      <c r="I26" s="9" t="s">
        <v>18</v>
      </c>
      <c r="J26" s="130" t="s">
        <v>17</v>
      </c>
      <c r="K26" s="9" t="s">
        <v>28</v>
      </c>
      <c r="L26" s="130" t="s">
        <v>58</v>
      </c>
    </row>
    <row r="27" spans="1:12" x14ac:dyDescent="0.35">
      <c r="A27" s="4">
        <v>11</v>
      </c>
      <c r="B27" s="58" t="s">
        <v>270</v>
      </c>
      <c r="C27" s="63">
        <v>41552</v>
      </c>
      <c r="D27" s="9" t="s">
        <v>271</v>
      </c>
      <c r="E27" s="176" t="s">
        <v>217</v>
      </c>
      <c r="F27" s="143"/>
      <c r="G27" s="143"/>
      <c r="H27" s="143"/>
      <c r="I27" s="143"/>
      <c r="J27" s="143"/>
      <c r="K27" s="143"/>
      <c r="L27" s="144"/>
    </row>
    <row r="28" spans="1:12" x14ac:dyDescent="0.35">
      <c r="A28" s="31">
        <v>12</v>
      </c>
      <c r="B28" s="87" t="s">
        <v>272</v>
      </c>
      <c r="C28" s="88">
        <v>42415</v>
      </c>
      <c r="D28" s="32" t="s">
        <v>273</v>
      </c>
      <c r="E28" s="9">
        <v>31.6</v>
      </c>
      <c r="F28" s="9">
        <v>134</v>
      </c>
      <c r="G28" s="100">
        <f>E28/(F28/100)^2</f>
        <v>17.598574292715526</v>
      </c>
      <c r="H28" s="21" t="s">
        <v>19</v>
      </c>
      <c r="I28" s="9" t="s">
        <v>18</v>
      </c>
      <c r="J28" s="9" t="s">
        <v>18</v>
      </c>
      <c r="K28" s="9" t="s">
        <v>18</v>
      </c>
      <c r="L28" s="9" t="s">
        <v>28</v>
      </c>
    </row>
    <row r="29" spans="1:12" ht="17.25" customHeight="1" x14ac:dyDescent="0.35">
      <c r="A29" s="142" t="s">
        <v>274</v>
      </c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4"/>
    </row>
    <row r="30" spans="1:12" x14ac:dyDescent="0.35">
      <c r="A30" s="4">
        <v>1</v>
      </c>
      <c r="B30" s="58" t="s">
        <v>275</v>
      </c>
      <c r="C30" s="63">
        <v>40637</v>
      </c>
      <c r="D30" s="9" t="s">
        <v>276</v>
      </c>
      <c r="E30" s="9">
        <v>65.45</v>
      </c>
      <c r="F30" s="9">
        <v>159.4</v>
      </c>
      <c r="G30" s="21">
        <f>E30/(F30/100)^2</f>
        <v>25.75923829794603</v>
      </c>
      <c r="H30" s="9" t="s">
        <v>19</v>
      </c>
      <c r="I30" s="133" t="s">
        <v>31</v>
      </c>
      <c r="J30" s="132" t="s">
        <v>17</v>
      </c>
      <c r="K30" s="40" t="s">
        <v>18</v>
      </c>
      <c r="L30" s="130" t="s">
        <v>58</v>
      </c>
    </row>
    <row r="31" spans="1:12" x14ac:dyDescent="0.35">
      <c r="A31" s="185" t="s">
        <v>277</v>
      </c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4"/>
    </row>
  </sheetData>
  <mergeCells count="12">
    <mergeCell ref="A1:L1"/>
    <mergeCell ref="A31:L31"/>
    <mergeCell ref="A2:G2"/>
    <mergeCell ref="A17:L17"/>
    <mergeCell ref="E19:L19"/>
    <mergeCell ref="H2:J2"/>
    <mergeCell ref="E27:L27"/>
    <mergeCell ref="A4:L4"/>
    <mergeCell ref="A29:L29"/>
    <mergeCell ref="E20:L20"/>
    <mergeCell ref="E21:L21"/>
    <mergeCell ref="K2:L2"/>
  </mergeCells>
  <pageMargins left="0" right="0" top="0.74803149606299213" bottom="0.74803149606299213" header="0.31496062992125978" footer="0.31496062992125978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INFANTES (ABR)</vt:lpstr>
      <vt:lpstr>MIGUEL ECHENIQUE</vt:lpstr>
      <vt:lpstr>TOMAS VALLE</vt:lpstr>
      <vt:lpstr>MATOGROSO MUJERES</vt:lpstr>
      <vt:lpstr>MATOGROSO HOMBRES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Stefany</cp:lastModifiedBy>
  <cp:lastPrinted>2026-05-21T17:19:07Z</cp:lastPrinted>
  <dcterms:created xsi:type="dcterms:W3CDTF">2025-08-09T14:13:49Z</dcterms:created>
  <dcterms:modified xsi:type="dcterms:W3CDTF">2026-10-08T04:32:22Z</dcterms:modified>
</cp:coreProperties>
</file>