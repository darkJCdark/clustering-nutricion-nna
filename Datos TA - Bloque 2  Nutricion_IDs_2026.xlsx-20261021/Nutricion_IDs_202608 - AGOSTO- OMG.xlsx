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22B1B93A-E6DE-4655-97B2-96EEA11BFF4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TOGROSO MUJERES" sheetId="1" r:id="rId1"/>
    <sheet name="MATOGROSO HOMB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<sst xmlns="http://schemas.openxmlformats.org/spreadsheetml/2006/main" count="226" uniqueCount="86">
  <si>
    <t>HOGAR MATOGROSO MUJERES: AGOSTO 2026</t>
  </si>
  <si>
    <t>DATOS</t>
  </si>
  <si>
    <t>Según Percentil OMS</t>
  </si>
  <si>
    <t>Según tabla de diagnostico rapido</t>
  </si>
  <si>
    <t>N°</t>
  </si>
  <si>
    <t>APELLIDOS Y NOMBRES</t>
  </si>
  <si>
    <t>FECHA DE 
NACIMIENTO</t>
  </si>
  <si>
    <t>EDAD C/ FORMULA</t>
  </si>
  <si>
    <t>EDAD</t>
  </si>
  <si>
    <t>PESO (kg)</t>
  </si>
  <si>
    <t>TALLA (cm)</t>
  </si>
  <si>
    <t>IMC</t>
  </si>
  <si>
    <t>T/E</t>
  </si>
  <si>
    <t>IMC/E</t>
  </si>
  <si>
    <t>CASA ADOLESCENTES MUJERES PROVINCIA</t>
  </si>
  <si>
    <t>PPA_FN_0027</t>
  </si>
  <si>
    <t>15 años y 10meses</t>
  </si>
  <si>
    <t>Normal</t>
  </si>
  <si>
    <t>Riesgo de 
Sobrepeso</t>
  </si>
  <si>
    <t>PPA_FN_0032</t>
  </si>
  <si>
    <t>13 años y 9meses</t>
  </si>
  <si>
    <t>Riesgo de 
talla baja</t>
  </si>
  <si>
    <t>PPA_FN_0039</t>
  </si>
  <si>
    <t>14 años y 1meses</t>
  </si>
  <si>
    <t>Sobrepeso</t>
  </si>
  <si>
    <t>PPA_FN_0043</t>
  </si>
  <si>
    <t>12 años y 10meses</t>
  </si>
  <si>
    <t>PPA_FN_0045</t>
  </si>
  <si>
    <t>17 años y 1meses</t>
  </si>
  <si>
    <t>PPA_FN_0048</t>
  </si>
  <si>
    <t>14 años y 4meses</t>
  </si>
  <si>
    <t>PPA_FN_0047</t>
  </si>
  <si>
    <t>16 años y 11meses</t>
  </si>
  <si>
    <t>Talla baja</t>
  </si>
  <si>
    <t>PPA_FN_0050</t>
  </si>
  <si>
    <t>14 años y 11meses</t>
  </si>
  <si>
    <t>PPA_FN_0137</t>
  </si>
  <si>
    <t>12 años y 11meses</t>
  </si>
  <si>
    <t>PPA_FN_0053</t>
  </si>
  <si>
    <t>13 años y 10meses</t>
  </si>
  <si>
    <t>PPA_FN_0052</t>
  </si>
  <si>
    <t>14 años y 10meses</t>
  </si>
  <si>
    <t>PPA_FN_0062</t>
  </si>
  <si>
    <t>PPA_FN_0063</t>
  </si>
  <si>
    <t>18 años y 4meses</t>
  </si>
  <si>
    <t>PPA_FN_0061</t>
  </si>
  <si>
    <t>12 años y 7meses</t>
  </si>
  <si>
    <t>Riego de
 delgadez o riesgo de bajo peso</t>
  </si>
  <si>
    <t>17 años y 5meses</t>
  </si>
  <si>
    <t>HOGAR MATOGROSO HOMBRES: AGOSTO 2026</t>
  </si>
  <si>
    <t>Según Percentil oms</t>
  </si>
  <si>
    <t>CASA ADOLESCENTES VARONES PROVINCIA</t>
  </si>
  <si>
    <t>PPA_FN_0064</t>
  </si>
  <si>
    <t>13 años y 6 Meses</t>
  </si>
  <si>
    <t>PPA_FN_0067</t>
  </si>
  <si>
    <t>14 años y 4 Meses</t>
  </si>
  <si>
    <t>PPA_FN_0068</t>
  </si>
  <si>
    <t>12 años y 8 Meses</t>
  </si>
  <si>
    <t>PPA_FN_0069</t>
  </si>
  <si>
    <t>PPA_FN_0074</t>
  </si>
  <si>
    <t>18 años y 11 Meses</t>
  </si>
  <si>
    <t>PPA_FN_0075</t>
  </si>
  <si>
    <t>16 años y 11 Meses</t>
  </si>
  <si>
    <t>PPA_FN_0077</t>
  </si>
  <si>
    <t>12 años y 5 Meses</t>
  </si>
  <si>
    <t>PPA_FN_0076</t>
  </si>
  <si>
    <t>Riesgo de
 sobrepeso</t>
  </si>
  <si>
    <t>PPA_FN_0078</t>
  </si>
  <si>
    <t>14 años y 11 Meses</t>
  </si>
  <si>
    <t>PPA_FN_0080</t>
  </si>
  <si>
    <t>15 años y 3 Meses</t>
  </si>
  <si>
    <t>PPA_FN_0087</t>
  </si>
  <si>
    <t>16 años y 4 Meses</t>
  </si>
  <si>
    <t>PPA_FN_0088</t>
  </si>
  <si>
    <t>16 años y 8 Meses</t>
  </si>
  <si>
    <t>PPA_FN_0093</t>
  </si>
  <si>
    <t>14 años y 1 Meses</t>
  </si>
  <si>
    <t>PPA_FN_0095</t>
  </si>
  <si>
    <t>14 años y 0 Meses</t>
  </si>
  <si>
    <t>PPA_FN_0096</t>
  </si>
  <si>
    <t>PPA_FN_0099</t>
  </si>
  <si>
    <t>16 años y 0 Meses</t>
  </si>
  <si>
    <t>18 años y 1 Meses</t>
  </si>
  <si>
    <t>PPA_FN_0044</t>
  </si>
  <si>
    <t>PPA_FN_0072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</si>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</sst>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d/mm/yyyy"/>
  </numFmts>
  <fonts count="14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sz val="7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theme="1"/>
      <name val="Arial 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2" fillId="0" borderId="0"/>
    <xf numFmtId="0" fontId="12" fillId="0" borderId="0"/>
  </cellStyleXfs>
  <cellXfs count="36">
    <xf numFmtId="0" fontId="0" fillId="0" borderId="0" xfId="0"/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6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6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L19"/>
  <sheetViews>
    <sheetView tabSelected="1" zoomScale="142" zoomScaleNormal="142" workbookViewId="0">
      <selection activeCell="A4" sqref="A4:K4"/>
    </sheetView>
  </sheetViews>
  <sheetFormatPr baseColWidth="10" defaultColWidth="11.453125" defaultRowHeight="14.5"/>
  <cols>
    <col min="1" max="1" width="2.26953125" style="10" customWidth="1"/>
    <col min="2" max="2" width="31.81640625" style="10" customWidth="1"/>
    <col min="3" max="3" width="9.54296875" style="10" customWidth="1"/>
    <col min="4" max="4" width="13.54296875" style="11" hidden="1" customWidth="1"/>
    <col min="5" max="5" width="14.7265625" style="11" customWidth="1"/>
    <col min="6" max="6" width="6" style="18" customWidth="1"/>
    <col min="7" max="7" width="7.453125" style="10" customWidth="1"/>
    <col min="8" max="8" width="6" style="10" customWidth="1"/>
    <col min="9" max="9" width="8.453125" style="10" customWidth="1"/>
    <col min="10" max="10" width="8.1796875" style="10" customWidth="1"/>
    <col min="11" max="12" width="10" style="10" customWidth="1"/>
    <col min="13" max="13" width="11.453125" style="10" customWidth="1"/>
    <col min="14" max="16384" width="11.453125" style="10"/>
  </cols>
  <sheetData>
    <row r="1" spans="1:12" ht="1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</row>
    <row r="2" spans="1:12" ht="15" customHeight="1">
      <c r="A2" s="30" t="s">
        <v>1</v>
      </c>
      <c r="B2" s="31"/>
      <c r="C2" s="31"/>
      <c r="D2" s="31"/>
      <c r="E2" s="31"/>
      <c r="F2" s="31"/>
      <c r="G2" s="31"/>
      <c r="H2" s="25"/>
      <c r="I2" s="26" t="s">
        <v>2</v>
      </c>
      <c r="J2" s="25"/>
      <c r="K2" s="24" t="s">
        <v>3</v>
      </c>
      <c r="L2" s="25"/>
    </row>
    <row r="3" spans="1:12" ht="16.5" customHeight="1">
      <c r="A3" s="1" t="s">
        <v>85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12</v>
      </c>
      <c r="L3" s="5" t="s">
        <v>11</v>
      </c>
    </row>
    <row r="4" spans="1:12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  <c r="L4" s="4"/>
    </row>
    <row r="5" spans="1:12" ht="33.75" customHeight="1">
      <c r="A5" s="7">
        <v>1</v>
      </c>
      <c r="B5" s="8" t="s">
        <v>15</v>
      </c>
      <c r="C5" s="13">
        <v>40447</v>
      </c>
      <c r="D5" s="12" t="str">
        <f t="shared" ref="D5:D19" ca="1" si="0">DATEDIF(C5,TODAY(),"Y")&amp;" años y "&amp;DATEDIF(C5,TODAY(),"YM")&amp;"meses"</f>
        <v>16 años y 0meses</v>
      </c>
      <c r="E5" s="12" t="s">
        <v>16</v>
      </c>
      <c r="F5" s="17">
        <v>58.3</v>
      </c>
      <c r="G5" s="17">
        <v>156.4</v>
      </c>
      <c r="H5" s="17">
        <v>24.2</v>
      </c>
      <c r="I5" s="17" t="s">
        <v>17</v>
      </c>
      <c r="J5" s="3" t="s">
        <v>18</v>
      </c>
      <c r="K5" s="17" t="s">
        <v>17</v>
      </c>
      <c r="L5" s="3" t="s">
        <v>18</v>
      </c>
    </row>
    <row r="6" spans="1:12" ht="22.5" customHeight="1">
      <c r="A6" s="7">
        <v>2</v>
      </c>
      <c r="B6" s="8" t="s">
        <v>19</v>
      </c>
      <c r="C6" s="13">
        <v>41187</v>
      </c>
      <c r="D6" s="12" t="str">
        <f t="shared" ca="1" si="0"/>
        <v>14 años y 0meses</v>
      </c>
      <c r="E6" s="12" t="s">
        <v>20</v>
      </c>
      <c r="F6" s="17">
        <v>45</v>
      </c>
      <c r="G6" s="17">
        <v>146.6</v>
      </c>
      <c r="H6" s="17">
        <v>21.4</v>
      </c>
      <c r="I6" s="3" t="s">
        <v>21</v>
      </c>
      <c r="J6" s="17" t="s">
        <v>17</v>
      </c>
      <c r="K6" s="3" t="s">
        <v>21</v>
      </c>
      <c r="L6" s="17" t="s">
        <v>17</v>
      </c>
    </row>
    <row r="7" spans="1:12">
      <c r="A7" s="7">
        <v>3</v>
      </c>
      <c r="B7" s="8" t="s">
        <v>22</v>
      </c>
      <c r="C7" s="13">
        <v>41070</v>
      </c>
      <c r="D7" s="12" t="str">
        <f t="shared" ca="1" si="0"/>
        <v>14 años y 3meses</v>
      </c>
      <c r="E7" s="12" t="s">
        <v>23</v>
      </c>
      <c r="F7" s="17">
        <v>69.05</v>
      </c>
      <c r="G7" s="17">
        <v>160.30000000000001</v>
      </c>
      <c r="H7" s="17">
        <v>26.9</v>
      </c>
      <c r="I7" s="17" t="s">
        <v>17</v>
      </c>
      <c r="J7" s="17" t="s">
        <v>24</v>
      </c>
      <c r="K7" s="17" t="s">
        <v>17</v>
      </c>
      <c r="L7" s="17" t="s">
        <v>24</v>
      </c>
    </row>
    <row r="8" spans="1:12">
      <c r="A8" s="7">
        <v>4</v>
      </c>
      <c r="B8" s="9" t="s">
        <v>25</v>
      </c>
      <c r="C8" s="13">
        <v>41521</v>
      </c>
      <c r="D8" s="12" t="str">
        <f t="shared" ca="1" si="0"/>
        <v>13 años y 1meses</v>
      </c>
      <c r="E8" s="12" t="s">
        <v>26</v>
      </c>
      <c r="F8" s="17">
        <v>42.9</v>
      </c>
      <c r="G8" s="17">
        <v>145.69999999999999</v>
      </c>
      <c r="H8" s="17">
        <v>20.100000000000001</v>
      </c>
      <c r="I8" s="17" t="s">
        <v>17</v>
      </c>
      <c r="J8" s="17" t="s">
        <v>17</v>
      </c>
      <c r="K8" s="17" t="s">
        <v>17</v>
      </c>
      <c r="L8" s="17" t="s">
        <v>17</v>
      </c>
    </row>
    <row r="9" spans="1:12">
      <c r="A9" s="7">
        <v>5</v>
      </c>
      <c r="B9" s="8" t="s">
        <v>27</v>
      </c>
      <c r="C9" s="13">
        <v>39984</v>
      </c>
      <c r="D9" s="12" t="str">
        <f t="shared" ca="1" si="0"/>
        <v>17 años y 3meses</v>
      </c>
      <c r="E9" s="12" t="s">
        <v>28</v>
      </c>
      <c r="F9" s="17">
        <v>57.7</v>
      </c>
      <c r="G9" s="17">
        <v>159.1</v>
      </c>
      <c r="H9" s="17">
        <v>23.08</v>
      </c>
      <c r="I9" s="17" t="s">
        <v>17</v>
      </c>
      <c r="J9" s="17" t="s">
        <v>17</v>
      </c>
      <c r="K9" s="17" t="s">
        <v>17</v>
      </c>
      <c r="L9" s="17" t="s">
        <v>17</v>
      </c>
    </row>
    <row r="10" spans="1:12" ht="33.75" customHeight="1">
      <c r="A10" s="7">
        <v>6</v>
      </c>
      <c r="B10" s="8" t="s">
        <v>29</v>
      </c>
      <c r="C10" s="13">
        <v>41000</v>
      </c>
      <c r="D10" s="12" t="str">
        <f t="shared" ca="1" si="0"/>
        <v>14 años y 6meses</v>
      </c>
      <c r="E10" s="12" t="s">
        <v>30</v>
      </c>
      <c r="F10" s="17">
        <v>50.2</v>
      </c>
      <c r="G10" s="17">
        <v>147.4</v>
      </c>
      <c r="H10" s="17">
        <v>23.2</v>
      </c>
      <c r="I10" s="3" t="s">
        <v>21</v>
      </c>
      <c r="J10" s="3" t="s">
        <v>18</v>
      </c>
      <c r="K10" s="3" t="s">
        <v>21</v>
      </c>
      <c r="L10" s="3" t="s">
        <v>18</v>
      </c>
    </row>
    <row r="11" spans="1:12" ht="33.75" customHeight="1">
      <c r="A11" s="7">
        <v>7</v>
      </c>
      <c r="B11" s="8" t="s">
        <v>31</v>
      </c>
      <c r="C11" s="13">
        <v>40034</v>
      </c>
      <c r="D11" s="12" t="str">
        <f t="shared" ca="1" si="0"/>
        <v>17 años y 1meses</v>
      </c>
      <c r="E11" s="12" t="s">
        <v>32</v>
      </c>
      <c r="F11" s="17">
        <v>49.45</v>
      </c>
      <c r="G11" s="17">
        <v>141.6</v>
      </c>
      <c r="H11" s="17">
        <v>24.6</v>
      </c>
      <c r="I11" s="17" t="s">
        <v>33</v>
      </c>
      <c r="J11" s="3" t="s">
        <v>18</v>
      </c>
      <c r="K11" s="17" t="s">
        <v>33</v>
      </c>
      <c r="L11" s="3" t="s">
        <v>18</v>
      </c>
    </row>
    <row r="12" spans="1:12">
      <c r="A12" s="7">
        <v>8</v>
      </c>
      <c r="B12" s="8" t="s">
        <v>34</v>
      </c>
      <c r="C12" s="13">
        <v>40768</v>
      </c>
      <c r="D12" s="12" t="str">
        <f t="shared" ca="1" si="0"/>
        <v>15 años y 1meses</v>
      </c>
      <c r="E12" s="12" t="s">
        <v>35</v>
      </c>
      <c r="F12" s="17">
        <v>62.8</v>
      </c>
      <c r="G12" s="17">
        <v>156</v>
      </c>
      <c r="H12" s="17">
        <v>25.8</v>
      </c>
      <c r="I12" s="17" t="s">
        <v>17</v>
      </c>
      <c r="J12" s="17" t="s">
        <v>17</v>
      </c>
      <c r="K12" s="17" t="s">
        <v>17</v>
      </c>
      <c r="L12" s="17" t="s">
        <v>17</v>
      </c>
    </row>
    <row r="13" spans="1:12">
      <c r="A13" s="7">
        <v>9</v>
      </c>
      <c r="B13" s="8" t="s">
        <v>36</v>
      </c>
      <c r="C13" s="13">
        <v>41491</v>
      </c>
      <c r="D13" s="12" t="str">
        <f t="shared" ca="1" si="0"/>
        <v>13 años y 2meses</v>
      </c>
      <c r="E13" s="12" t="s">
        <v>37</v>
      </c>
      <c r="F13" s="17">
        <v>47</v>
      </c>
      <c r="G13" s="17">
        <v>162</v>
      </c>
      <c r="H13" s="17">
        <v>17.899999999999999</v>
      </c>
      <c r="I13" s="17" t="s">
        <v>17</v>
      </c>
      <c r="J13" s="17" t="s">
        <v>17</v>
      </c>
      <c r="K13" s="17" t="s">
        <v>17</v>
      </c>
      <c r="L13" s="17" t="s">
        <v>17</v>
      </c>
    </row>
    <row r="14" spans="1:12">
      <c r="A14" s="7">
        <v>10</v>
      </c>
      <c r="B14" s="8" t="s">
        <v>38</v>
      </c>
      <c r="C14" s="13">
        <v>41170</v>
      </c>
      <c r="D14" s="12" t="str">
        <f t="shared" ca="1" si="0"/>
        <v>14 años y 0meses</v>
      </c>
      <c r="E14" s="12" t="s">
        <v>39</v>
      </c>
      <c r="F14" s="17">
        <v>46.3</v>
      </c>
      <c r="G14" s="17">
        <v>151.19999999999999</v>
      </c>
      <c r="H14" s="17">
        <v>20.3</v>
      </c>
      <c r="I14" s="17" t="s">
        <v>17</v>
      </c>
      <c r="J14" s="17" t="s">
        <v>17</v>
      </c>
      <c r="K14" s="17" t="s">
        <v>17</v>
      </c>
      <c r="L14" s="17" t="s">
        <v>17</v>
      </c>
    </row>
    <row r="15" spans="1:12" ht="33.75" customHeight="1">
      <c r="A15" s="7">
        <v>11</v>
      </c>
      <c r="B15" s="8" t="s">
        <v>40</v>
      </c>
      <c r="C15" s="13">
        <v>40802</v>
      </c>
      <c r="D15" s="12" t="str">
        <f t="shared" ca="1" si="0"/>
        <v>15 años y 0meses</v>
      </c>
      <c r="E15" s="12" t="s">
        <v>41</v>
      </c>
      <c r="F15" s="17">
        <v>64.400000000000006</v>
      </c>
      <c r="G15" s="17">
        <v>157</v>
      </c>
      <c r="H15" s="17">
        <v>26.1</v>
      </c>
      <c r="I15" s="17" t="s">
        <v>17</v>
      </c>
      <c r="J15" s="3" t="s">
        <v>18</v>
      </c>
      <c r="K15" s="17" t="s">
        <v>17</v>
      </c>
      <c r="L15" s="3" t="s">
        <v>18</v>
      </c>
    </row>
    <row r="16" spans="1:12" ht="22.5" customHeight="1">
      <c r="A16" s="7">
        <v>12</v>
      </c>
      <c r="B16" s="8" t="s">
        <v>42</v>
      </c>
      <c r="C16" s="13">
        <v>39992</v>
      </c>
      <c r="D16" s="12" t="str">
        <f t="shared" ca="1" si="0"/>
        <v>17 años y 3meses</v>
      </c>
      <c r="E16" s="12" t="s">
        <v>28</v>
      </c>
      <c r="F16" s="17">
        <v>55.5</v>
      </c>
      <c r="G16" s="17">
        <v>150.9</v>
      </c>
      <c r="H16" s="17">
        <v>24.3</v>
      </c>
      <c r="I16" s="3" t="s">
        <v>21</v>
      </c>
      <c r="J16" s="17" t="s">
        <v>17</v>
      </c>
      <c r="K16" s="3" t="s">
        <v>21</v>
      </c>
      <c r="L16" s="17" t="s">
        <v>17</v>
      </c>
    </row>
    <row r="17" spans="1:12">
      <c r="A17" s="7">
        <v>13</v>
      </c>
      <c r="B17" s="8" t="s">
        <v>43</v>
      </c>
      <c r="C17" s="13">
        <v>39535</v>
      </c>
      <c r="D17" s="12" t="str">
        <f t="shared" ca="1" si="0"/>
        <v>18 años y 6meses</v>
      </c>
      <c r="E17" s="12" t="s">
        <v>44</v>
      </c>
      <c r="F17" s="17">
        <v>55</v>
      </c>
      <c r="G17" s="17">
        <v>146</v>
      </c>
      <c r="H17" s="17">
        <v>25.8</v>
      </c>
      <c r="I17" s="17" t="s">
        <v>33</v>
      </c>
      <c r="J17" s="17" t="s">
        <v>24</v>
      </c>
      <c r="K17" s="17" t="s">
        <v>33</v>
      </c>
      <c r="L17" s="17" t="s">
        <v>24</v>
      </c>
    </row>
    <row r="18" spans="1:12" ht="56.25" customHeight="1">
      <c r="A18" s="7">
        <v>14</v>
      </c>
      <c r="B18" s="9" t="s">
        <v>45</v>
      </c>
      <c r="C18" s="13">
        <v>41639</v>
      </c>
      <c r="D18" s="12" t="str">
        <f t="shared" ca="1" si="0"/>
        <v>12 años y 9meses</v>
      </c>
      <c r="E18" s="12" t="s">
        <v>46</v>
      </c>
      <c r="F18" s="17">
        <v>30.25</v>
      </c>
      <c r="G18" s="17">
        <v>143.5</v>
      </c>
      <c r="H18" s="17">
        <v>14.6</v>
      </c>
      <c r="I18" s="3" t="s">
        <v>21</v>
      </c>
      <c r="J18" s="3" t="s">
        <v>47</v>
      </c>
      <c r="K18" s="3" t="s">
        <v>21</v>
      </c>
      <c r="L18" s="3" t="s">
        <v>47</v>
      </c>
    </row>
    <row r="19" spans="1:12">
      <c r="A19" s="9">
        <v>15</v>
      </c>
      <c r="B19" s="9" t="s">
        <v>83</v>
      </c>
      <c r="C19" s="14">
        <v>39849</v>
      </c>
      <c r="D19" s="12" t="str">
        <f t="shared" ca="1" si="0"/>
        <v>17 años y 8meses</v>
      </c>
      <c r="E19" s="12" t="s">
        <v>48</v>
      </c>
      <c r="F19" s="17">
        <v>75.400000000000006</v>
      </c>
      <c r="G19" s="17">
        <v>153.5</v>
      </c>
      <c r="H19" s="17">
        <v>31.8</v>
      </c>
      <c r="I19" s="17" t="s">
        <v>17</v>
      </c>
      <c r="J19" s="17" t="s">
        <v>24</v>
      </c>
      <c r="K19" s="17" t="s">
        <v>17</v>
      </c>
      <c r="L19" s="17" t="s">
        <v>24</v>
      </c>
    </row>
  </sheetData>
  <mergeCells count="5">
    <mergeCell ref="A4:K4"/>
    <mergeCell ref="K2:L2"/>
    <mergeCell ref="I2:J2"/>
    <mergeCell ref="A1:L1"/>
    <mergeCell ref="A2:H2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L21"/>
  <sheetViews>
    <sheetView zoomScale="140" zoomScaleNormal="140" workbookViewId="0">
      <selection activeCell="C25" sqref="C25"/>
    </sheetView>
  </sheetViews>
  <sheetFormatPr baseColWidth="10" defaultColWidth="11.453125" defaultRowHeight="14.5"/>
  <cols>
    <col min="1" max="1" width="2.7265625" style="18" customWidth="1"/>
    <col min="2" max="2" width="30.453125" style="18" customWidth="1"/>
    <col min="3" max="3" width="8.81640625" style="11" customWidth="1"/>
    <col min="4" max="4" width="16.81640625" style="18" hidden="1" customWidth="1"/>
    <col min="5" max="5" width="16.81640625" style="18" customWidth="1"/>
    <col min="6" max="6" width="8.1796875" style="18" customWidth="1"/>
    <col min="7" max="11" width="8.26953125" style="18" customWidth="1"/>
    <col min="12" max="12" width="12.81640625" style="18" customWidth="1"/>
    <col min="13" max="13" width="11.453125" style="18" customWidth="1"/>
    <col min="14" max="16384" width="11.453125" style="18"/>
  </cols>
  <sheetData>
    <row r="1" spans="1:12">
      <c r="A1" s="34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25"/>
    </row>
    <row r="2" spans="1:12" ht="24" customHeight="1">
      <c r="A2" s="33" t="s">
        <v>1</v>
      </c>
      <c r="B2" s="31"/>
      <c r="C2" s="31"/>
      <c r="D2" s="31"/>
      <c r="E2" s="31"/>
      <c r="F2" s="31"/>
      <c r="G2" s="31"/>
      <c r="H2" s="25"/>
      <c r="I2" s="32" t="s">
        <v>50</v>
      </c>
      <c r="J2" s="25"/>
      <c r="K2" s="32" t="s">
        <v>3</v>
      </c>
      <c r="L2" s="25"/>
    </row>
    <row r="3" spans="1:12" ht="16.5" customHeight="1">
      <c r="A3" s="16" t="s">
        <v>4</v>
      </c>
      <c r="B3" s="16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12</v>
      </c>
      <c r="L3" s="16" t="s">
        <v>11</v>
      </c>
    </row>
    <row r="4" spans="1:12" ht="17.25" customHeight="1">
      <c r="A4" s="35" t="s">
        <v>51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25"/>
    </row>
    <row r="5" spans="1:12">
      <c r="A5" s="7">
        <v>1</v>
      </c>
      <c r="B5" s="8" t="s">
        <v>52</v>
      </c>
      <c r="C5" s="13">
        <v>41298</v>
      </c>
      <c r="D5" s="13" t="str">
        <f t="shared" ref="D5:D21" ca="1" si="0">DATEDIF(C5,TODAY(),"Y")&amp;" años y "&amp;DATEDIF(C5,TODAY(),"YM")&amp;" Meses"</f>
        <v>13 años y 8 Meses</v>
      </c>
      <c r="E5" s="13" t="s">
        <v>53</v>
      </c>
      <c r="F5" s="19">
        <v>51.95</v>
      </c>
      <c r="G5" s="19">
        <v>156</v>
      </c>
      <c r="H5" s="19">
        <v>21.35</v>
      </c>
      <c r="I5" s="19" t="s">
        <v>17</v>
      </c>
      <c r="J5" s="19" t="s">
        <v>17</v>
      </c>
      <c r="K5" s="19" t="s">
        <v>17</v>
      </c>
      <c r="L5" s="19" t="s">
        <v>17</v>
      </c>
    </row>
    <row r="6" spans="1:12">
      <c r="A6" s="7">
        <v>2</v>
      </c>
      <c r="B6" s="8" t="s">
        <v>54</v>
      </c>
      <c r="C6" s="13">
        <v>41001</v>
      </c>
      <c r="D6" s="13" t="str">
        <f t="shared" ca="1" si="0"/>
        <v>14 años y 6 Meses</v>
      </c>
      <c r="E6" s="13" t="s">
        <v>55</v>
      </c>
      <c r="F6" s="19">
        <v>64.8</v>
      </c>
      <c r="G6" s="19">
        <v>164.6</v>
      </c>
      <c r="H6" s="19">
        <v>23.8</v>
      </c>
      <c r="I6" s="19" t="s">
        <v>17</v>
      </c>
      <c r="J6" s="19" t="s">
        <v>17</v>
      </c>
      <c r="K6" s="19" t="s">
        <v>17</v>
      </c>
      <c r="L6" s="19" t="s">
        <v>17</v>
      </c>
    </row>
    <row r="7" spans="1:12">
      <c r="A7" s="7">
        <v>3</v>
      </c>
      <c r="B7" s="8" t="s">
        <v>56</v>
      </c>
      <c r="C7" s="13">
        <v>41606</v>
      </c>
      <c r="D7" s="13" t="str">
        <f t="shared" ca="1" si="0"/>
        <v>12 años y 10 Meses</v>
      </c>
      <c r="E7" s="13" t="s">
        <v>57</v>
      </c>
      <c r="F7" s="19">
        <v>45.3</v>
      </c>
      <c r="G7" s="19">
        <v>150.6</v>
      </c>
      <c r="H7" s="19">
        <v>19.87</v>
      </c>
      <c r="I7" s="19" t="s">
        <v>17</v>
      </c>
      <c r="J7" s="19" t="s">
        <v>17</v>
      </c>
      <c r="K7" s="19" t="s">
        <v>17</v>
      </c>
      <c r="L7" s="19" t="s">
        <v>17</v>
      </c>
    </row>
    <row r="8" spans="1:12" ht="22.5" customHeight="1">
      <c r="A8" s="7">
        <v>4</v>
      </c>
      <c r="B8" s="8" t="s">
        <v>58</v>
      </c>
      <c r="C8" s="13">
        <v>41304</v>
      </c>
      <c r="D8" s="13" t="str">
        <f t="shared" ca="1" si="0"/>
        <v>13 años y 8 Meses</v>
      </c>
      <c r="E8" s="13" t="s">
        <v>53</v>
      </c>
      <c r="F8" s="19">
        <v>46</v>
      </c>
      <c r="G8" s="19">
        <v>149.80000000000001</v>
      </c>
      <c r="H8" s="19">
        <v>20.440000000000001</v>
      </c>
      <c r="I8" s="20" t="s">
        <v>21</v>
      </c>
      <c r="J8" s="19" t="s">
        <v>17</v>
      </c>
      <c r="K8" s="20" t="s">
        <v>21</v>
      </c>
      <c r="L8" s="19" t="s">
        <v>17</v>
      </c>
    </row>
    <row r="9" spans="1:12">
      <c r="A9" s="7">
        <v>5</v>
      </c>
      <c r="B9" s="8" t="s">
        <v>59</v>
      </c>
      <c r="C9" s="13">
        <v>39325</v>
      </c>
      <c r="D9" s="13" t="str">
        <f t="shared" ca="1" si="0"/>
        <v>19 años y 1 Meses</v>
      </c>
      <c r="E9" s="13" t="s">
        <v>60</v>
      </c>
      <c r="F9" s="19">
        <v>71.45</v>
      </c>
      <c r="G9" s="19">
        <v>160</v>
      </c>
      <c r="H9" s="19">
        <v>27.91</v>
      </c>
      <c r="I9" s="19" t="s">
        <v>17</v>
      </c>
      <c r="J9" s="19" t="s">
        <v>24</v>
      </c>
      <c r="K9" s="19" t="s">
        <v>17</v>
      </c>
      <c r="L9" s="19" t="s">
        <v>24</v>
      </c>
    </row>
    <row r="10" spans="1:12">
      <c r="A10" s="7">
        <v>6</v>
      </c>
      <c r="B10" s="8" t="s">
        <v>61</v>
      </c>
      <c r="C10" s="13">
        <v>40058</v>
      </c>
      <c r="D10" s="13" t="str">
        <f t="shared" ca="1" si="0"/>
        <v>17 años y 1 Meses</v>
      </c>
      <c r="E10" s="13" t="s">
        <v>62</v>
      </c>
      <c r="F10" s="19">
        <v>70.2</v>
      </c>
      <c r="G10" s="19">
        <v>173</v>
      </c>
      <c r="H10" s="19">
        <v>23.46</v>
      </c>
      <c r="I10" s="19" t="s">
        <v>17</v>
      </c>
      <c r="J10" s="19" t="s">
        <v>17</v>
      </c>
      <c r="K10" s="19" t="s">
        <v>17</v>
      </c>
      <c r="L10" s="19" t="s">
        <v>17</v>
      </c>
    </row>
    <row r="11" spans="1:12">
      <c r="A11" s="7">
        <v>7</v>
      </c>
      <c r="B11" s="8" t="s">
        <v>63</v>
      </c>
      <c r="C11" s="13">
        <v>41693</v>
      </c>
      <c r="D11" s="13" t="str">
        <f t="shared" ca="1" si="0"/>
        <v>12 años y 7 Meses</v>
      </c>
      <c r="E11" s="13" t="s">
        <v>64</v>
      </c>
      <c r="F11" s="19">
        <v>50.3</v>
      </c>
      <c r="G11" s="19">
        <v>163</v>
      </c>
      <c r="H11" s="19">
        <v>18.93</v>
      </c>
      <c r="I11" s="19" t="s">
        <v>17</v>
      </c>
      <c r="J11" s="19" t="s">
        <v>17</v>
      </c>
      <c r="K11" s="19" t="s">
        <v>17</v>
      </c>
      <c r="L11" s="19" t="s">
        <v>17</v>
      </c>
    </row>
    <row r="12" spans="1:12" ht="45" customHeight="1">
      <c r="A12" s="7">
        <v>8</v>
      </c>
      <c r="B12" s="8" t="s">
        <v>65</v>
      </c>
      <c r="C12" s="13">
        <v>41693</v>
      </c>
      <c r="D12" s="13" t="str">
        <f t="shared" ca="1" si="0"/>
        <v>12 años y 7 Meses</v>
      </c>
      <c r="E12" s="13" t="s">
        <v>64</v>
      </c>
      <c r="F12" s="19">
        <v>60.2</v>
      </c>
      <c r="G12" s="19">
        <v>162.80000000000001</v>
      </c>
      <c r="H12" s="19">
        <v>22.66</v>
      </c>
      <c r="I12" s="19" t="s">
        <v>17</v>
      </c>
      <c r="J12" s="20" t="s">
        <v>66</v>
      </c>
      <c r="K12" s="19" t="s">
        <v>17</v>
      </c>
      <c r="L12" s="20" t="s">
        <v>66</v>
      </c>
    </row>
    <row r="13" spans="1:12">
      <c r="A13" s="7">
        <v>9</v>
      </c>
      <c r="B13" s="8" t="s">
        <v>67</v>
      </c>
      <c r="C13" s="13">
        <v>40763</v>
      </c>
      <c r="D13" s="13" t="str">
        <f t="shared" ca="1" si="0"/>
        <v>15 años y 1 Meses</v>
      </c>
      <c r="E13" s="13" t="s">
        <v>68</v>
      </c>
      <c r="F13" s="19">
        <v>50.5</v>
      </c>
      <c r="G13" s="19">
        <v>169.2</v>
      </c>
      <c r="H13" s="19">
        <v>17.68</v>
      </c>
      <c r="I13" s="19" t="s">
        <v>17</v>
      </c>
      <c r="J13" s="19" t="s">
        <v>17</v>
      </c>
      <c r="K13" s="19" t="s">
        <v>17</v>
      </c>
      <c r="L13" s="19" t="s">
        <v>17</v>
      </c>
    </row>
    <row r="14" spans="1:12">
      <c r="A14" s="7">
        <v>10</v>
      </c>
      <c r="B14" s="8" t="s">
        <v>69</v>
      </c>
      <c r="C14" s="13">
        <v>40637</v>
      </c>
      <c r="D14" s="13" t="str">
        <f t="shared" ca="1" si="0"/>
        <v>15 años y 6 Meses</v>
      </c>
      <c r="E14" s="13" t="s">
        <v>70</v>
      </c>
      <c r="F14" s="19">
        <v>61.65</v>
      </c>
      <c r="G14" s="19">
        <v>160.9</v>
      </c>
      <c r="H14" s="19">
        <v>23.78</v>
      </c>
      <c r="I14" s="19" t="s">
        <v>17</v>
      </c>
      <c r="J14" s="19" t="s">
        <v>17</v>
      </c>
      <c r="K14" s="19" t="s">
        <v>17</v>
      </c>
      <c r="L14" s="19" t="s">
        <v>17</v>
      </c>
    </row>
    <row r="15" spans="1:12">
      <c r="A15" s="7">
        <v>11</v>
      </c>
      <c r="B15" s="8" t="s">
        <v>71</v>
      </c>
      <c r="C15" s="13">
        <v>40271</v>
      </c>
      <c r="D15" s="13" t="str">
        <f t="shared" ca="1" si="0"/>
        <v>16 años y 6 Meses</v>
      </c>
      <c r="E15" s="13" t="s">
        <v>72</v>
      </c>
      <c r="F15" s="19">
        <v>57.25</v>
      </c>
      <c r="G15" s="19">
        <v>168.3</v>
      </c>
      <c r="H15" s="19">
        <v>20.28</v>
      </c>
      <c r="I15" s="19" t="s">
        <v>17</v>
      </c>
      <c r="J15" s="19" t="s">
        <v>17</v>
      </c>
      <c r="K15" s="19" t="s">
        <v>17</v>
      </c>
      <c r="L15" s="19" t="s">
        <v>17</v>
      </c>
    </row>
    <row r="16" spans="1:12">
      <c r="A16" s="7">
        <v>12</v>
      </c>
      <c r="B16" s="8" t="s">
        <v>73</v>
      </c>
      <c r="C16" s="13">
        <v>40133</v>
      </c>
      <c r="D16" s="13" t="str">
        <f t="shared" ca="1" si="0"/>
        <v>16 años y 10 Meses</v>
      </c>
      <c r="E16" s="13" t="s">
        <v>74</v>
      </c>
      <c r="F16" s="19">
        <v>66.5</v>
      </c>
      <c r="G16" s="19">
        <v>171.8</v>
      </c>
      <c r="H16" s="19">
        <v>22.48</v>
      </c>
      <c r="I16" s="19" t="s">
        <v>17</v>
      </c>
      <c r="J16" s="19" t="s">
        <v>17</v>
      </c>
      <c r="K16" s="19" t="s">
        <v>17</v>
      </c>
      <c r="L16" s="19" t="s">
        <v>17</v>
      </c>
    </row>
    <row r="17" spans="1:12" ht="45" customHeight="1">
      <c r="A17" s="7">
        <v>13</v>
      </c>
      <c r="B17" s="8" t="s">
        <v>75</v>
      </c>
      <c r="C17" s="13">
        <v>41069</v>
      </c>
      <c r="D17" s="13" t="str">
        <f t="shared" ca="1" si="0"/>
        <v>14 años y 3 Meses</v>
      </c>
      <c r="E17" s="13" t="s">
        <v>76</v>
      </c>
      <c r="F17" s="19">
        <v>74.8</v>
      </c>
      <c r="G17" s="19">
        <v>176.8</v>
      </c>
      <c r="H17" s="19">
        <v>23.88</v>
      </c>
      <c r="I17" s="19" t="s">
        <v>17</v>
      </c>
      <c r="J17" s="20" t="s">
        <v>66</v>
      </c>
      <c r="K17" s="19" t="s">
        <v>17</v>
      </c>
      <c r="L17" s="20" t="s">
        <v>66</v>
      </c>
    </row>
    <row r="18" spans="1:12" ht="45" customHeight="1">
      <c r="A18" s="7">
        <v>14</v>
      </c>
      <c r="B18" s="8" t="s">
        <v>77</v>
      </c>
      <c r="C18" s="13">
        <v>41098</v>
      </c>
      <c r="D18" s="13" t="str">
        <f t="shared" ca="1" si="0"/>
        <v>14 años y 2 Meses</v>
      </c>
      <c r="E18" s="13" t="s">
        <v>78</v>
      </c>
      <c r="F18" s="19">
        <v>61.65</v>
      </c>
      <c r="G18" s="19">
        <v>160.9</v>
      </c>
      <c r="H18" s="19">
        <v>24.08</v>
      </c>
      <c r="I18" s="19" t="s">
        <v>17</v>
      </c>
      <c r="J18" s="20" t="s">
        <v>66</v>
      </c>
      <c r="K18" s="19" t="s">
        <v>17</v>
      </c>
      <c r="L18" s="20" t="s">
        <v>66</v>
      </c>
    </row>
    <row r="19" spans="1:12">
      <c r="A19" s="7">
        <v>15</v>
      </c>
      <c r="B19" s="8" t="s">
        <v>79</v>
      </c>
      <c r="C19" s="13">
        <v>39323</v>
      </c>
      <c r="D19" s="13" t="str">
        <f t="shared" ca="1" si="0"/>
        <v>19 años y 1 Meses</v>
      </c>
      <c r="E19" s="13" t="s">
        <v>60</v>
      </c>
      <c r="F19" s="19">
        <v>48.1</v>
      </c>
      <c r="G19" s="19">
        <v>158</v>
      </c>
      <c r="H19" s="19">
        <v>19.27</v>
      </c>
      <c r="I19" s="19" t="s">
        <v>33</v>
      </c>
      <c r="J19" s="19" t="s">
        <v>17</v>
      </c>
      <c r="K19" s="19" t="s">
        <v>33</v>
      </c>
      <c r="L19" s="19" t="s">
        <v>17</v>
      </c>
    </row>
    <row r="20" spans="1:12">
      <c r="A20" s="7">
        <v>16</v>
      </c>
      <c r="B20" s="8" t="s">
        <v>80</v>
      </c>
      <c r="C20" s="13">
        <v>40364</v>
      </c>
      <c r="D20" s="13" t="str">
        <f t="shared" ca="1" si="0"/>
        <v>16 años y 3 Meses</v>
      </c>
      <c r="E20" s="13" t="s">
        <v>81</v>
      </c>
      <c r="F20" s="19">
        <v>62.3</v>
      </c>
      <c r="G20" s="19">
        <v>164.8</v>
      </c>
      <c r="H20" s="19">
        <v>23.16</v>
      </c>
      <c r="I20" s="19" t="s">
        <v>17</v>
      </c>
      <c r="J20" s="19" t="s">
        <v>17</v>
      </c>
      <c r="K20" s="19" t="s">
        <v>17</v>
      </c>
      <c r="L20" s="19" t="s">
        <v>17</v>
      </c>
    </row>
    <row r="21" spans="1:12">
      <c r="A21" s="15">
        <v>17</v>
      </c>
      <c r="B21" s="6" t="s">
        <v>84</v>
      </c>
      <c r="C21" s="14">
        <v>39621</v>
      </c>
      <c r="D21" s="13" t="str">
        <f t="shared" ca="1" si="0"/>
        <v>18 años y 3 Meses</v>
      </c>
      <c r="E21" s="13" t="s">
        <v>82</v>
      </c>
      <c r="F21" s="19">
        <v>59</v>
      </c>
      <c r="G21" s="19">
        <v>161.5</v>
      </c>
      <c r="H21" s="19">
        <v>22.76</v>
      </c>
      <c r="I21" s="19" t="s">
        <v>17</v>
      </c>
      <c r="J21" s="19" t="s">
        <v>17</v>
      </c>
      <c r="K21" s="19" t="s">
        <v>17</v>
      </c>
      <c r="L21" s="19" t="s">
        <v>17</v>
      </c>
    </row>
  </sheetData>
  <mergeCells count="5">
    <mergeCell ref="K2:L2"/>
    <mergeCell ref="A2:H2"/>
    <mergeCell ref="I2:J2"/>
    <mergeCell ref="A1:L1"/>
    <mergeCell ref="A4:L4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MATOGROSO MUJERES</vt:lpstr>
      <vt:lpstr>MATOGROSO 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cp:lastPrinted>2026-08-17T15:39:06Z</cp:lastPrinted>
  <dcterms:created xsi:type="dcterms:W3CDTF">2025-08-09T14:13:49Z</dcterms:created>
  <dcterms:modified xsi:type="dcterms:W3CDTF">2026-10-08T04:32:56Z</dcterms:modified>
</cp:coreProperties>
</file>