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Stef\pucp\2026-2\1INF03 - ADD\RSU_2026-2\Datos\fwdevaluacionnutricional\Procesados\"/>
    </mc:Choice>
  </mc:AlternateContent>
  <xr:revisionPtr revIDLastSave="0" documentId="13_ncr:1_{D87E3AF8-9648-4DE5-ABF3-AE91A031EF48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INFANTES " sheetId="1" r:id="rId1"/>
    <sheet name="MIGUEL ECHENIQUE" sheetId="2" r:id="rId2"/>
    <sheet name="TOMAS VALLE" sheetId="3" r:id="rId3"/>
    <sheet name="MATOGROSO MUJERES" sheetId="4" r:id="rId4"/>
    <sheet name="MATOGROSO HOMBR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5" l="1"/>
  <c r="D27" i="5"/>
  <c r="G26" i="5"/>
  <c r="D26" i="5"/>
  <c r="G25" i="5"/>
  <c r="D25" i="5"/>
  <c r="G24" i="5"/>
  <c r="D24" i="5"/>
  <c r="G23" i="5"/>
  <c r="D23" i="5"/>
  <c r="G22" i="5"/>
  <c r="D22" i="5"/>
  <c r="G21" i="5"/>
  <c r="D21" i="5"/>
  <c r="G20" i="5"/>
  <c r="D20" i="5"/>
  <c r="G19" i="5"/>
  <c r="D19" i="5"/>
  <c r="G18" i="5"/>
  <c r="D18" i="5"/>
  <c r="D17" i="5"/>
  <c r="D16" i="5"/>
  <c r="D15" i="5"/>
  <c r="D14" i="5"/>
  <c r="G13" i="5"/>
  <c r="D13" i="5"/>
  <c r="G11" i="5"/>
  <c r="D11" i="5"/>
  <c r="G10" i="5"/>
  <c r="D10" i="5"/>
  <c r="G9" i="5"/>
  <c r="D9" i="5"/>
  <c r="G8" i="5"/>
  <c r="D8" i="5"/>
  <c r="G7" i="5"/>
  <c r="D7" i="5"/>
  <c r="G6" i="5"/>
  <c r="D6" i="5"/>
  <c r="G5" i="5"/>
  <c r="D5" i="5"/>
  <c r="G30" i="3"/>
  <c r="D30" i="3"/>
  <c r="G29" i="3"/>
  <c r="D29" i="3"/>
  <c r="G28" i="3"/>
  <c r="D28" i="3"/>
  <c r="G27" i="3"/>
  <c r="D27" i="3"/>
  <c r="G26" i="3"/>
  <c r="D26" i="3"/>
  <c r="G24" i="3"/>
  <c r="D24" i="3"/>
  <c r="G23" i="3"/>
  <c r="D23" i="3"/>
  <c r="G22" i="3"/>
  <c r="D22" i="3"/>
  <c r="G21" i="3"/>
  <c r="D21" i="3"/>
  <c r="G20" i="3"/>
  <c r="D20" i="3"/>
  <c r="G18" i="3"/>
  <c r="D18" i="3"/>
  <c r="G17" i="3"/>
  <c r="D17" i="3"/>
  <c r="G16" i="3"/>
  <c r="D16" i="3"/>
  <c r="G14" i="3"/>
  <c r="D14" i="3"/>
  <c r="G13" i="3"/>
  <c r="D13" i="3"/>
  <c r="G12" i="3"/>
  <c r="D12" i="3"/>
  <c r="G10" i="3"/>
  <c r="D10" i="3"/>
  <c r="G9" i="3"/>
  <c r="D9" i="3"/>
  <c r="G8" i="3"/>
  <c r="D8" i="3"/>
  <c r="G6" i="3"/>
  <c r="D6" i="3"/>
  <c r="G5" i="3"/>
  <c r="D5" i="3"/>
  <c r="G24" i="2"/>
  <c r="D24" i="2"/>
  <c r="G23" i="2"/>
  <c r="D23" i="2"/>
  <c r="G22" i="2"/>
  <c r="D22" i="2"/>
  <c r="G21" i="2"/>
  <c r="D21" i="2"/>
  <c r="G20" i="2"/>
  <c r="D20" i="2"/>
  <c r="G19" i="2"/>
  <c r="D19" i="2"/>
  <c r="G17" i="2"/>
  <c r="D17" i="2"/>
  <c r="G16" i="2"/>
  <c r="D16" i="2"/>
  <c r="G15" i="2"/>
  <c r="D15" i="2"/>
  <c r="G14" i="2"/>
  <c r="D14" i="2"/>
  <c r="G12" i="2"/>
  <c r="D12" i="2"/>
  <c r="G11" i="2"/>
  <c r="D11" i="2"/>
  <c r="G10" i="2"/>
  <c r="D10" i="2"/>
  <c r="G8" i="2"/>
  <c r="D8" i="2"/>
  <c r="G7" i="2"/>
  <c r="D7" i="2"/>
  <c r="G6" i="2"/>
  <c r="D6" i="2"/>
  <c r="G5" i="2"/>
  <c r="D5" i="2"/>
  <c r="G38" i="1"/>
  <c r="C38" i="1"/>
  <c r="D38" i="1" s="1"/>
  <c r="G37" i="1"/>
  <c r="D37" i="1"/>
  <c r="G36" i="1"/>
  <c r="D36" i="1"/>
  <c r="G35" i="1"/>
  <c r="D35" i="1"/>
  <c r="G33" i="1"/>
  <c r="D33" i="1"/>
  <c r="G32" i="1"/>
  <c r="D32" i="1"/>
  <c r="G31" i="1"/>
  <c r="D31" i="1"/>
  <c r="G30" i="1"/>
  <c r="D30" i="1"/>
  <c r="G29" i="1"/>
  <c r="D29" i="1"/>
  <c r="G28" i="1"/>
  <c r="D28" i="1"/>
  <c r="G27" i="1"/>
  <c r="D27" i="1"/>
  <c r="G25" i="1"/>
  <c r="D25" i="1"/>
  <c r="G24" i="1"/>
  <c r="D24" i="1"/>
  <c r="G23" i="1"/>
  <c r="D23" i="1"/>
  <c r="G22" i="1"/>
  <c r="D22" i="1"/>
  <c r="G21" i="1"/>
  <c r="D21" i="1"/>
  <c r="G20" i="1"/>
  <c r="D20" i="1"/>
  <c r="G19" i="1"/>
  <c r="D19" i="1"/>
  <c r="G17" i="1"/>
  <c r="D17" i="1"/>
  <c r="G16" i="1"/>
  <c r="D16" i="1"/>
  <c r="G15" i="1"/>
  <c r="D15" i="1"/>
  <c r="G14" i="1"/>
  <c r="D14" i="1"/>
  <c r="G13" i="1"/>
  <c r="D13" i="1"/>
  <c r="G12" i="1"/>
  <c r="D12" i="1"/>
  <c r="G10" i="1"/>
  <c r="D10" i="1"/>
  <c r="G9" i="1"/>
  <c r="D9" i="1"/>
  <c r="G8" i="1"/>
  <c r="D8" i="1"/>
  <c r="G7" i="1"/>
  <c r="D7" i="1"/>
  <c r="G6" i="1"/>
  <c r="D6" i="1"/>
  <c r="G5" i="1"/>
  <c r="D5" i="1"/>
  <c r="G23" i="4"/>
  <c r="D23" i="4"/>
  <c r="G22" i="4"/>
  <c r="D22" i="4"/>
  <c r="G21" i="4"/>
  <c r="D21" i="4"/>
  <c r="G20" i="4"/>
  <c r="D20" i="4"/>
  <c r="D19" i="4"/>
  <c r="G18" i="4"/>
  <c r="D18" i="4"/>
  <c r="G17" i="4"/>
  <c r="D17" i="4"/>
  <c r="G16" i="4"/>
  <c r="D16" i="4"/>
  <c r="D15" i="4"/>
  <c r="G14" i="4"/>
  <c r="D14" i="4"/>
  <c r="D13" i="4"/>
  <c r="G12" i="4"/>
  <c r="D12" i="4"/>
  <c r="G11" i="4"/>
  <c r="D11" i="4"/>
  <c r="G9" i="4"/>
  <c r="D9" i="4"/>
  <c r="G8" i="4"/>
  <c r="D8" i="4"/>
  <c r="G7" i="4"/>
  <c r="D7" i="4"/>
  <c r="G6" i="4"/>
  <c r="D6" i="4"/>
  <c r="G5" i="4"/>
  <c r="D5" i="4"/>
</calcChain>
</file>

<file path=xl/sharedStrings.xml><?xml version="1.0" encoding="utf-8"?>
<sst xmlns="http://schemas.openxmlformats.org/spreadsheetml/2006/main" count="814" uniqueCount="175">
  <si>
    <t>HOGAR MATOGROSO MUJERES: JUNIO</t>
  </si>
  <si>
    <t>DATOS</t>
  </si>
  <si>
    <t>Según percentiles</t>
  </si>
  <si>
    <t>Según tabla de diagnostico rapido</t>
  </si>
  <si>
    <t>N°</t>
  </si>
  <si>
    <t>APELLIDOS Y NOMBRES</t>
  </si>
  <si>
    <t>FECHA DE 
NACIMIENTO</t>
  </si>
  <si>
    <t>EDAD</t>
  </si>
  <si>
    <t>PESO (kg)</t>
  </si>
  <si>
    <t>TALLA (cm)</t>
  </si>
  <si>
    <t>IMC</t>
  </si>
  <si>
    <t>P/E</t>
  </si>
  <si>
    <t>T/E</t>
  </si>
  <si>
    <t>IMC/E</t>
  </si>
  <si>
    <t xml:space="preserve">CASA PEQUEÑA ALEGRIA </t>
  </si>
  <si>
    <t>PPA_FN_0022</t>
  </si>
  <si>
    <t>NORMAL</t>
  </si>
  <si>
    <t>SOBREPESO</t>
  </si>
  <si>
    <t xml:space="preserve">NORMAL </t>
  </si>
  <si>
    <t>PPA_FN_0023</t>
  </si>
  <si>
    <t>RIESGO SOBREPESO</t>
  </si>
  <si>
    <t>TALLA BAJA</t>
  </si>
  <si>
    <t>PPA_FN_0108</t>
  </si>
  <si>
    <t>RIESGO TALLA BAJA</t>
  </si>
  <si>
    <t>OBESIDAD</t>
  </si>
  <si>
    <t>PPA_FN_0020</t>
  </si>
  <si>
    <t>PPA_FN_0025</t>
  </si>
  <si>
    <t>RIESGO BAJO PESO</t>
  </si>
  <si>
    <t>CASA AMOR</t>
  </si>
  <si>
    <t>PPA_FN_0028</t>
  </si>
  <si>
    <t>*</t>
  </si>
  <si>
    <t>TALLA BAJA SEVERA</t>
  </si>
  <si>
    <t>BAJO PESO</t>
  </si>
  <si>
    <t>PPA_FN_0031</t>
  </si>
  <si>
    <t>PPA_FN_0043</t>
  </si>
  <si>
    <t>PROVINCIA</t>
  </si>
  <si>
    <t>PPA_FN_0049</t>
  </si>
  <si>
    <t>PPA_FN_0137</t>
  </si>
  <si>
    <t>PPA_FN_0055</t>
  </si>
  <si>
    <t>PPA_FN_0058</t>
  </si>
  <si>
    <t>PPA_FN_0060</t>
  </si>
  <si>
    <t>PPA_FN_0061</t>
  </si>
  <si>
    <t>PPA_FN_0056</t>
  </si>
  <si>
    <t>PPA_FN_0136</t>
  </si>
  <si>
    <t>PPA_FN_0051</t>
  </si>
  <si>
    <t>PPA_FN_0116</t>
  </si>
  <si>
    <t xml:space="preserve">HOGAR INFANTES: JUNIO 2026-I  </t>
  </si>
  <si>
    <t>Según percentiles OMS</t>
  </si>
  <si>
    <t>Según tabla de diagnóstico rápido INS</t>
  </si>
  <si>
    <t>P/T</t>
  </si>
  <si>
    <t>CASA SAN RAFAEL</t>
  </si>
  <si>
    <t>PPA_FN_0117</t>
  </si>
  <si>
    <t>PPA_FN_0140</t>
  </si>
  <si>
    <t xml:space="preserve">OBESIDAD </t>
  </si>
  <si>
    <t xml:space="preserve">SOBREPESO </t>
  </si>
  <si>
    <t>PPA_FN_0157</t>
  </si>
  <si>
    <t>PPA_FN_0153</t>
  </si>
  <si>
    <t>PPA_FN_0146</t>
  </si>
  <si>
    <t xml:space="preserve">TALLA BAJA </t>
  </si>
  <si>
    <t>PPA_FN_0149</t>
  </si>
  <si>
    <t>OBESIDA</t>
  </si>
  <si>
    <t xml:space="preserve">CASA SAN MARTIN </t>
  </si>
  <si>
    <t>PPA_FN_0121</t>
  </si>
  <si>
    <t>BAJO PESO SEVERO</t>
  </si>
  <si>
    <t>PPA_FN_0004</t>
  </si>
  <si>
    <t>PPA_FN_0103</t>
  </si>
  <si>
    <t>PPA_FN_0128</t>
  </si>
  <si>
    <t>PPA_FN_0006</t>
  </si>
  <si>
    <t>PPA_FN_0115</t>
  </si>
  <si>
    <t/>
  </si>
  <si>
    <t>CASA SAN NICOLAS</t>
  </si>
  <si>
    <t>PPA_FN_0151</t>
  </si>
  <si>
    <t>PPA_FN_0152</t>
  </si>
  <si>
    <t>PPA_FN_0120</t>
  </si>
  <si>
    <t>PPA_FN_0135</t>
  </si>
  <si>
    <t>PPA_FN_0124</t>
  </si>
  <si>
    <t>PPA_FN_0145</t>
  </si>
  <si>
    <t>PPA_FN_0002</t>
  </si>
  <si>
    <t>CASA SAN VICENTE</t>
  </si>
  <si>
    <t>PPA_FN_0133</t>
  </si>
  <si>
    <t>PPA_FN_0106</t>
  </si>
  <si>
    <t>PPA_FN_0105</t>
  </si>
  <si>
    <t>PPA_FN_0127</t>
  </si>
  <si>
    <t>PPA_FN_0010</t>
  </si>
  <si>
    <t>PPA_FN_0125</t>
  </si>
  <si>
    <t>PPA_FN_0008</t>
  </si>
  <si>
    <t>CASA SANTA ROSA</t>
  </si>
  <si>
    <t>PPA_FN_0143</t>
  </si>
  <si>
    <t>PPA_FN_0104</t>
  </si>
  <si>
    <t>PPA_FN_0009</t>
  </si>
  <si>
    <t>PPA_FN_0011</t>
  </si>
  <si>
    <t>HOGAR: MIGUEL ECHENIQUE- JUNIO 2026</t>
  </si>
  <si>
    <t>Según puntaje z</t>
  </si>
  <si>
    <t>Según tabla de diagnostico rápido</t>
  </si>
  <si>
    <t>CASA SANTA ANA</t>
  </si>
  <si>
    <t>PPA_FN_0134</t>
  </si>
  <si>
    <t>PPA_FN_0014</t>
  </si>
  <si>
    <t>PPA_FN_0013</t>
  </si>
  <si>
    <t>PPA_FN_0150</t>
  </si>
  <si>
    <t>CASA VIRGEN DEL PILAR</t>
  </si>
  <si>
    <t>PPA_FN_0036</t>
  </si>
  <si>
    <t>PPA_FN_0035</t>
  </si>
  <si>
    <t>PPA_FN_0024</t>
  </si>
  <si>
    <t>CASA SAGRADO CORAZON</t>
  </si>
  <si>
    <t>PPA_FN_0033</t>
  </si>
  <si>
    <t>PPA_FN_0034</t>
  </si>
  <si>
    <t>PPA_FN_0054</t>
  </si>
  <si>
    <t>OBESIDAD III</t>
  </si>
  <si>
    <t>PPA_FN_0042</t>
  </si>
  <si>
    <t>CASA MEDALLA MILAGROSA</t>
  </si>
  <si>
    <t>PPA_FN_0026</t>
  </si>
  <si>
    <t>PPA_FN_0038</t>
  </si>
  <si>
    <t>PPA_FN_0041</t>
  </si>
  <si>
    <t>PPA_FN_0046</t>
  </si>
  <si>
    <t>PPA_FN_0030</t>
  </si>
  <si>
    <t>21/11/2012</t>
  </si>
  <si>
    <t>PPA_FN_0029</t>
  </si>
  <si>
    <t>HOGAR TOMAS VALLE : JUNIO 2026-I</t>
  </si>
  <si>
    <t>Según percentil</t>
  </si>
  <si>
    <t xml:space="preserve">Según tabla de diagnóstico </t>
  </si>
  <si>
    <t>CASA 1</t>
  </si>
  <si>
    <t>PPA_FN_0012</t>
  </si>
  <si>
    <t>PPA_FN_0021</t>
  </si>
  <si>
    <t>CASA 4</t>
  </si>
  <si>
    <t>PPA_FN_0018</t>
  </si>
  <si>
    <t>PPA_FN_0107</t>
  </si>
  <si>
    <t>PPA_FN_0131</t>
  </si>
  <si>
    <t>CASA 5</t>
  </si>
  <si>
    <t>PPA_FN_0141</t>
  </si>
  <si>
    <t>PPA_FN_0138</t>
  </si>
  <si>
    <t>PPA_FN_0132</t>
  </si>
  <si>
    <t>CASA 6</t>
  </si>
  <si>
    <t>PPA_FN_0082</t>
  </si>
  <si>
    <t>PPA_FN_0086</t>
  </si>
  <si>
    <t>PPA_FN_0142</t>
  </si>
  <si>
    <t>CASA 7</t>
  </si>
  <si>
    <t>PPA_FN_0114</t>
  </si>
  <si>
    <t>PPA_FN_0079</t>
  </si>
  <si>
    <t>PPA_FN_0101</t>
  </si>
  <si>
    <t>PPA_FN_0094</t>
  </si>
  <si>
    <t>PPA_FN_0100</t>
  </si>
  <si>
    <t>CASA 8</t>
  </si>
  <si>
    <t>PPA_FN_0071</t>
  </si>
  <si>
    <t>PPA_FN_0085</t>
  </si>
  <si>
    <t>PPA_FN_0089</t>
  </si>
  <si>
    <t>PPA_FN_0102</t>
  </si>
  <si>
    <t>PPA_FN_0118</t>
  </si>
  <si>
    <t>HOGAR MATOGROSO HOMBRES: JUNIO</t>
  </si>
  <si>
    <t>CASA BONDAD</t>
  </si>
  <si>
    <t>PPA_FN_0017</t>
  </si>
  <si>
    <t>PPA_FN_0019</t>
  </si>
  <si>
    <t>PPA_FN_0156</t>
  </si>
  <si>
    <t>PPA_FN_0123</t>
  </si>
  <si>
    <t>PPA_FN_0015</t>
  </si>
  <si>
    <t>PPA_FN_0016</t>
  </si>
  <si>
    <t>PPA_FN_0147</t>
  </si>
  <si>
    <t>CASA PACIENCIA</t>
  </si>
  <si>
    <t>PPA_FN_0113</t>
  </si>
  <si>
    <t>PPA_FN_0068</t>
  </si>
  <si>
    <t xml:space="preserve">PROVINCIA </t>
  </si>
  <si>
    <t>PPA_FN_0069</t>
  </si>
  <si>
    <t>PPA_FN_0077</t>
  </si>
  <si>
    <t>PPA_FN_0076</t>
  </si>
  <si>
    <t>PPA_FN_0119</t>
  </si>
  <si>
    <t>PPA_FN_0073</t>
  </si>
  <si>
    <t>RIESGO TALA BAJA</t>
  </si>
  <si>
    <t>PPA_FN_0081</t>
  </si>
  <si>
    <t>PPA_FN_0122</t>
  </si>
  <si>
    <t>PPA_FN_0092</t>
  </si>
  <si>
    <t>PPA_FN_0066</t>
  </si>
  <si>
    <t>PPA_FN_0084</t>
  </si>
  <si>
    <t>PPA_FN_0091</t>
  </si>
  <si>
    <t>PPA_FN_0148</t>
  </si>
  <si>
    <t>PPA_FN_0065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</si>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</sst>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80A]dd/mm/yyyy"/>
    <numFmt numFmtId="165" formatCode="0.0"/>
  </numFmts>
  <fonts count="26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6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color theme="1"/>
      <name val="Calibri"/>
      <scheme val="minor"/>
    </font>
    <font>
      <sz val="6"/>
      <name val="Calibri"/>
      <family val="2"/>
      <scheme val="minor"/>
    </font>
    <font>
      <sz val="6"/>
      <color theme="1"/>
      <name val="Calibri"/>
    </font>
    <font>
      <sz val="6"/>
      <color theme="1"/>
      <name val="Calibri"/>
      <family val="2"/>
    </font>
    <font>
      <b/>
      <sz val="8"/>
      <color rgb="FF000000"/>
      <name val="Arial"/>
      <family val="2"/>
    </font>
    <font>
      <b/>
      <sz val="8"/>
      <color rgb="FF000000"/>
      <name val="Arial"/>
    </font>
    <font>
      <sz val="6"/>
      <name val="Calibri"/>
      <family val="2"/>
    </font>
    <font>
      <sz val="7"/>
      <color theme="1"/>
      <name val="Calibri"/>
      <family val="2"/>
    </font>
    <font>
      <sz val="8"/>
      <color theme="1"/>
      <name val="Arial"/>
      <family val="2"/>
    </font>
    <font>
      <sz val="6"/>
      <color theme="1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6"/>
      <color rgb="FF000000"/>
      <name val="Arial"/>
      <family val="2"/>
    </font>
    <font>
      <b/>
      <sz val="6"/>
      <color theme="1"/>
      <name val="Arial"/>
      <family val="2"/>
    </font>
    <font>
      <sz val="6"/>
      <name val="Arial"/>
      <family val="2"/>
    </font>
    <font>
      <sz val="7"/>
      <color rgb="FF000000"/>
      <name val="Arial"/>
      <family val="2"/>
    </font>
    <font>
      <sz val="7"/>
      <color theme="1"/>
      <name val="Arial"/>
      <family val="2"/>
    </font>
    <font>
      <sz val="8"/>
      <name val="Calibri"/>
      <family val="2"/>
      <scheme val="minor"/>
    </font>
    <font>
      <sz val="7"/>
      <name val="Calibri"/>
      <family val="2"/>
      <scheme val="minor"/>
    </font>
    <font>
      <sz val="8"/>
      <color theme="1"/>
      <name val="Calibri"/>
      <family val="2"/>
    </font>
    <font>
      <sz val="7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CAAC"/>
        <bgColor rgb="FFF7CAAC"/>
      </patternFill>
    </fill>
    <fill>
      <patternFill patternType="solid">
        <fgColor rgb="FFCCCCFF"/>
        <bgColor rgb="FFCCCCFF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rgb="FFB4C6E7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61FF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961"/>
        <bgColor indexed="64"/>
      </patternFill>
    </fill>
    <fill>
      <patternFill patternType="solid">
        <fgColor rgb="FF00B0F0"/>
        <bgColor indexed="64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/>
  </cellStyleXfs>
  <cellXfs count="202">
    <xf numFmtId="0" fontId="0" fillId="0" borderId="0" xfId="0"/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0" fillId="2" borderId="0" xfId="0" applyFill="1"/>
    <xf numFmtId="0" fontId="3" fillId="0" borderId="16" xfId="0" applyFont="1" applyBorder="1" applyAlignment="1">
      <alignment horizontal="center" wrapText="1"/>
    </xf>
    <xf numFmtId="0" fontId="0" fillId="0" borderId="16" xfId="0" applyBorder="1"/>
    <xf numFmtId="0" fontId="3" fillId="0" borderId="16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 wrapText="1"/>
    </xf>
    <xf numFmtId="0" fontId="0" fillId="6" borderId="0" xfId="0" applyFill="1"/>
    <xf numFmtId="0" fontId="3" fillId="0" borderId="16" xfId="0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7" fillId="0" borderId="16" xfId="0" applyFont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wrapText="1"/>
    </xf>
    <xf numFmtId="0" fontId="7" fillId="10" borderId="16" xfId="0" applyFont="1" applyFill="1" applyBorder="1" applyAlignment="1">
      <alignment horizontal="center" wrapText="1"/>
    </xf>
    <xf numFmtId="2" fontId="5" fillId="0" borderId="16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1" fontId="3" fillId="0" borderId="16" xfId="0" applyNumberFormat="1" applyFont="1" applyBorder="1" applyAlignment="1">
      <alignment horizontal="center" vertical="center" wrapText="1"/>
    </xf>
    <xf numFmtId="1" fontId="3" fillId="0" borderId="16" xfId="1" applyNumberFormat="1" applyFont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wrapText="1"/>
    </xf>
    <xf numFmtId="0" fontId="3" fillId="0" borderId="24" xfId="0" applyFont="1" applyBorder="1" applyAlignment="1">
      <alignment horizontal="center" wrapText="1"/>
    </xf>
    <xf numFmtId="0" fontId="3" fillId="0" borderId="24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wrapText="1"/>
    </xf>
    <xf numFmtId="0" fontId="13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wrapText="1"/>
    </xf>
    <xf numFmtId="0" fontId="0" fillId="0" borderId="0" xfId="0" applyProtection="1">
      <protection locked="0"/>
    </xf>
    <xf numFmtId="0" fontId="6" fillId="8" borderId="22" xfId="0" applyFont="1" applyFill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/>
    </xf>
    <xf numFmtId="0" fontId="11" fillId="8" borderId="27" xfId="0" applyFont="1" applyFill="1" applyBorder="1" applyAlignment="1" applyProtection="1">
      <alignment horizontal="center" vertical="center" wrapText="1"/>
      <protection locked="0"/>
    </xf>
    <xf numFmtId="0" fontId="3" fillId="13" borderId="33" xfId="0" applyFont="1" applyFill="1" applyBorder="1" applyAlignment="1">
      <alignment horizontal="center" vertical="center" wrapText="1"/>
    </xf>
    <xf numFmtId="2" fontId="3" fillId="0" borderId="16" xfId="0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2" fontId="3" fillId="4" borderId="5" xfId="0" applyNumberFormat="1" applyFont="1" applyFill="1" applyBorder="1" applyAlignment="1">
      <alignment horizontal="center" vertical="center" wrapText="1"/>
    </xf>
    <xf numFmtId="2" fontId="3" fillId="4" borderId="7" xfId="0" applyNumberFormat="1" applyFont="1" applyFill="1" applyBorder="1" applyAlignment="1">
      <alignment horizontal="center" vertical="center" wrapText="1"/>
    </xf>
    <xf numFmtId="2" fontId="3" fillId="4" borderId="8" xfId="0" applyNumberFormat="1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3" fillId="0" borderId="16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3" fillId="0" borderId="0" xfId="0" applyFont="1"/>
    <xf numFmtId="0" fontId="7" fillId="8" borderId="16" xfId="0" applyFont="1" applyFill="1" applyBorder="1" applyAlignment="1">
      <alignment horizontal="center" vertical="center" wrapText="1"/>
    </xf>
    <xf numFmtId="14" fontId="13" fillId="0" borderId="16" xfId="0" applyNumberFormat="1" applyFont="1" applyBorder="1" applyAlignment="1">
      <alignment horizontal="center" vertical="center" wrapText="1"/>
    </xf>
    <xf numFmtId="164" fontId="13" fillId="0" borderId="16" xfId="0" applyNumberFormat="1" applyFont="1" applyBorder="1" applyAlignment="1">
      <alignment horizontal="center" vertical="center"/>
    </xf>
    <xf numFmtId="164" fontId="17" fillId="0" borderId="16" xfId="0" applyNumberFormat="1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0" fontId="3" fillId="6" borderId="0" xfId="0" applyFont="1" applyFill="1"/>
    <xf numFmtId="0" fontId="7" fillId="8" borderId="27" xfId="0" applyFont="1" applyFill="1" applyBorder="1" applyAlignment="1" applyProtection="1">
      <alignment horizontal="center" vertical="center" wrapText="1"/>
      <protection locked="0"/>
    </xf>
    <xf numFmtId="164" fontId="13" fillId="0" borderId="24" xfId="0" applyNumberFormat="1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 wrapText="1"/>
    </xf>
    <xf numFmtId="0" fontId="7" fillId="8" borderId="28" xfId="0" applyFont="1" applyFill="1" applyBorder="1" applyAlignment="1" applyProtection="1">
      <alignment horizontal="center" vertical="center" wrapText="1"/>
      <protection locked="0"/>
    </xf>
    <xf numFmtId="0" fontId="10" fillId="4" borderId="28" xfId="0" applyFont="1" applyFill="1" applyBorder="1" applyAlignment="1" applyProtection="1">
      <alignment horizontal="center" vertical="center" wrapText="1"/>
      <protection locked="0"/>
    </xf>
    <xf numFmtId="0" fontId="10" fillId="4" borderId="27" xfId="0" applyFont="1" applyFill="1" applyBorder="1" applyAlignment="1" applyProtection="1">
      <alignment horizontal="center" vertical="center" wrapText="1"/>
      <protection locked="0"/>
    </xf>
    <xf numFmtId="165" fontId="5" fillId="0" borderId="24" xfId="0" applyNumberFormat="1" applyFont="1" applyBorder="1" applyAlignment="1">
      <alignment horizontal="center" vertical="center" wrapText="1"/>
    </xf>
    <xf numFmtId="165" fontId="5" fillId="0" borderId="16" xfId="0" applyNumberFormat="1" applyFont="1" applyBorder="1" applyAlignment="1">
      <alignment horizontal="center" vertical="center" wrapText="1"/>
    </xf>
    <xf numFmtId="0" fontId="13" fillId="0" borderId="24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/>
    </xf>
    <xf numFmtId="164" fontId="17" fillId="0" borderId="27" xfId="0" applyNumberFormat="1" applyFont="1" applyBorder="1" applyAlignment="1">
      <alignment horizontal="center" vertical="center"/>
    </xf>
    <xf numFmtId="0" fontId="18" fillId="2" borderId="0" xfId="0" applyFont="1" applyFill="1" applyAlignment="1" applyProtection="1">
      <alignment horizontal="center" vertical="center" wrapText="1"/>
      <protection locked="0"/>
    </xf>
    <xf numFmtId="0" fontId="19" fillId="0" borderId="16" xfId="0" applyFont="1" applyBorder="1" applyAlignment="1">
      <alignment horizontal="left" vertical="center"/>
    </xf>
    <xf numFmtId="164" fontId="19" fillId="0" borderId="16" xfId="0" applyNumberFormat="1" applyFont="1" applyBorder="1" applyAlignment="1">
      <alignment horizontal="center" vertical="center"/>
    </xf>
    <xf numFmtId="0" fontId="17" fillId="6" borderId="16" xfId="0" applyFont="1" applyFill="1" applyBorder="1" applyAlignment="1">
      <alignment horizontal="left" vertical="center"/>
    </xf>
    <xf numFmtId="164" fontId="13" fillId="6" borderId="16" xfId="0" applyNumberFormat="1" applyFont="1" applyFill="1" applyBorder="1" applyAlignment="1">
      <alignment horizontal="center" vertical="center"/>
    </xf>
    <xf numFmtId="2" fontId="3" fillId="0" borderId="0" xfId="0" applyNumberFormat="1" applyFont="1"/>
    <xf numFmtId="0" fontId="12" fillId="0" borderId="16" xfId="0" applyFont="1" applyBorder="1" applyAlignment="1">
      <alignment horizontal="center" vertical="center" wrapText="1"/>
    </xf>
    <xf numFmtId="0" fontId="1" fillId="16" borderId="23" xfId="0" applyFont="1" applyFill="1" applyBorder="1" applyAlignment="1">
      <alignment vertical="center" wrapText="1"/>
    </xf>
    <xf numFmtId="0" fontId="1" fillId="16" borderId="31" xfId="0" applyFont="1" applyFill="1" applyBorder="1" applyAlignment="1">
      <alignment vertical="center" wrapText="1"/>
    </xf>
    <xf numFmtId="0" fontId="13" fillId="4" borderId="23" xfId="0" applyFont="1" applyFill="1" applyBorder="1" applyAlignment="1">
      <alignment horizontal="center" vertical="center" wrapText="1"/>
    </xf>
    <xf numFmtId="0" fontId="3" fillId="15" borderId="16" xfId="0" applyFont="1" applyFill="1" applyBorder="1" applyAlignment="1">
      <alignment horizontal="center" vertical="center" wrapText="1"/>
    </xf>
    <xf numFmtId="0" fontId="3" fillId="15" borderId="16" xfId="0" applyFont="1" applyFill="1" applyBorder="1" applyAlignment="1">
      <alignment horizontal="center" wrapText="1"/>
    </xf>
    <xf numFmtId="0" fontId="3" fillId="6" borderId="33" xfId="0" applyFont="1" applyFill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left" vertical="center"/>
    </xf>
    <xf numFmtId="0" fontId="16" fillId="0" borderId="24" xfId="0" applyFont="1" applyBorder="1"/>
    <xf numFmtId="0" fontId="20" fillId="0" borderId="16" xfId="0" applyFont="1" applyBorder="1" applyAlignment="1">
      <alignment horizontal="left" vertical="center" wrapText="1"/>
    </xf>
    <xf numFmtId="14" fontId="20" fillId="0" borderId="16" xfId="0" applyNumberFormat="1" applyFont="1" applyBorder="1" applyAlignment="1">
      <alignment horizontal="center" vertical="center" wrapText="1"/>
    </xf>
    <xf numFmtId="0" fontId="21" fillId="0" borderId="16" xfId="0" applyFont="1" applyBorder="1" applyAlignment="1">
      <alignment horizontal="left" vertical="center" wrapText="1"/>
    </xf>
    <xf numFmtId="14" fontId="21" fillId="0" borderId="16" xfId="0" applyNumberFormat="1" applyFont="1" applyBorder="1" applyAlignment="1">
      <alignment horizontal="center" vertical="center" wrapText="1"/>
    </xf>
    <xf numFmtId="0" fontId="20" fillId="0" borderId="16" xfId="0" applyFont="1" applyBorder="1" applyAlignment="1">
      <alignment horizontal="left" vertical="center"/>
    </xf>
    <xf numFmtId="164" fontId="20" fillId="0" borderId="16" xfId="0" applyNumberFormat="1" applyFont="1" applyBorder="1" applyAlignment="1">
      <alignment horizontal="center" vertical="center"/>
    </xf>
    <xf numFmtId="0" fontId="21" fillId="0" borderId="16" xfId="0" applyFont="1" applyBorder="1" applyAlignment="1">
      <alignment horizontal="left" vertical="center"/>
    </xf>
    <xf numFmtId="164" fontId="21" fillId="0" borderId="16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2" fontId="23" fillId="0" borderId="16" xfId="0" applyNumberFormat="1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14" fontId="3" fillId="0" borderId="0" xfId="0" applyNumberFormat="1" applyFont="1"/>
    <xf numFmtId="2" fontId="3" fillId="0" borderId="16" xfId="0" applyNumberFormat="1" applyFont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7" fillId="17" borderId="16" xfId="0" applyFont="1" applyFill="1" applyBorder="1" applyAlignment="1">
      <alignment horizontal="center" vertical="center" wrapText="1"/>
    </xf>
    <xf numFmtId="0" fontId="3" fillId="17" borderId="16" xfId="0" applyFont="1" applyFill="1" applyBorder="1" applyAlignment="1">
      <alignment horizontal="center" vertical="center"/>
    </xf>
    <xf numFmtId="0" fontId="7" fillId="18" borderId="16" xfId="0" applyFont="1" applyFill="1" applyBorder="1" applyAlignment="1">
      <alignment horizontal="center" vertical="center"/>
    </xf>
    <xf numFmtId="0" fontId="7" fillId="19" borderId="16" xfId="0" applyFont="1" applyFill="1" applyBorder="1" applyAlignment="1">
      <alignment horizontal="center" vertical="center" wrapText="1"/>
    </xf>
    <xf numFmtId="0" fontId="7" fillId="19" borderId="16" xfId="0" applyFont="1" applyFill="1" applyBorder="1" applyAlignment="1">
      <alignment horizontal="center" vertical="center"/>
    </xf>
    <xf numFmtId="0" fontId="3" fillId="17" borderId="16" xfId="0" applyFont="1" applyFill="1" applyBorder="1" applyAlignment="1">
      <alignment horizontal="center" vertical="center" wrapText="1"/>
    </xf>
    <xf numFmtId="0" fontId="3" fillId="18" borderId="16" xfId="0" applyFont="1" applyFill="1" applyBorder="1" applyAlignment="1">
      <alignment horizontal="center" vertical="center" wrapText="1"/>
    </xf>
    <xf numFmtId="0" fontId="3" fillId="19" borderId="16" xfId="0" applyFont="1" applyFill="1" applyBorder="1" applyAlignment="1">
      <alignment horizontal="center" vertical="center" wrapText="1"/>
    </xf>
    <xf numFmtId="165" fontId="23" fillId="0" borderId="16" xfId="0" applyNumberFormat="1" applyFont="1" applyBorder="1" applyAlignment="1">
      <alignment horizontal="center" vertical="center" wrapText="1"/>
    </xf>
    <xf numFmtId="0" fontId="7" fillId="18" borderId="16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20" borderId="16" xfId="0" applyFont="1" applyFill="1" applyBorder="1" applyAlignment="1">
      <alignment horizontal="center" vertical="center" wrapText="1"/>
    </xf>
    <xf numFmtId="0" fontId="7" fillId="17" borderId="16" xfId="0" applyFont="1" applyFill="1" applyBorder="1" applyAlignment="1">
      <alignment horizontal="center" vertical="center"/>
    </xf>
    <xf numFmtId="0" fontId="7" fillId="21" borderId="16" xfId="0" applyFont="1" applyFill="1" applyBorder="1" applyAlignment="1">
      <alignment horizontal="center" vertical="center" wrapText="1"/>
    </xf>
    <xf numFmtId="0" fontId="10" fillId="18" borderId="16" xfId="0" applyFont="1" applyFill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0" fontId="3" fillId="21" borderId="16" xfId="0" applyFont="1" applyFill="1" applyBorder="1" applyAlignment="1">
      <alignment horizontal="center" vertical="center" wrapText="1"/>
    </xf>
    <xf numFmtId="0" fontId="3" fillId="21" borderId="24" xfId="0" applyFont="1" applyFill="1" applyBorder="1" applyAlignment="1">
      <alignment horizontal="center" vertical="center" wrapText="1"/>
    </xf>
    <xf numFmtId="0" fontId="3" fillId="22" borderId="24" xfId="0" applyFont="1" applyFill="1" applyBorder="1" applyAlignment="1">
      <alignment horizontal="center" vertical="center" wrapText="1"/>
    </xf>
    <xf numFmtId="0" fontId="7" fillId="23" borderId="16" xfId="0" applyFont="1" applyFill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165" fontId="21" fillId="0" borderId="16" xfId="0" applyNumberFormat="1" applyFont="1" applyBorder="1" applyAlignment="1">
      <alignment horizontal="center" vertical="center" wrapText="1"/>
    </xf>
    <xf numFmtId="2" fontId="21" fillId="0" borderId="16" xfId="0" applyNumberFormat="1" applyFont="1" applyBorder="1" applyAlignment="1">
      <alignment horizontal="center" vertical="center" wrapText="1"/>
    </xf>
    <xf numFmtId="0" fontId="13" fillId="17" borderId="16" xfId="0" applyFont="1" applyFill="1" applyBorder="1" applyAlignment="1">
      <alignment horizontal="center" vertical="center" wrapText="1"/>
    </xf>
    <xf numFmtId="0" fontId="13" fillId="18" borderId="16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19" borderId="16" xfId="0" applyFont="1" applyFill="1" applyBorder="1" applyAlignment="1">
      <alignment horizontal="center" vertical="center" wrapText="1"/>
    </xf>
    <xf numFmtId="0" fontId="13" fillId="21" borderId="16" xfId="0" applyFont="1" applyFill="1" applyBorder="1" applyAlignment="1">
      <alignment horizontal="center" vertical="center" wrapText="1"/>
    </xf>
    <xf numFmtId="0" fontId="7" fillId="22" borderId="16" xfId="0" applyFont="1" applyFill="1" applyBorder="1" applyAlignment="1">
      <alignment horizontal="center" vertical="center" wrapText="1"/>
    </xf>
    <xf numFmtId="0" fontId="13" fillId="22" borderId="16" xfId="0" applyFont="1" applyFill="1" applyBorder="1" applyAlignment="1">
      <alignment horizontal="center" vertical="center" wrapText="1"/>
    </xf>
    <xf numFmtId="0" fontId="3" fillId="22" borderId="16" xfId="0" applyFont="1" applyFill="1" applyBorder="1" applyAlignment="1">
      <alignment horizontal="center" vertical="center" wrapText="1"/>
    </xf>
    <xf numFmtId="0" fontId="13" fillId="23" borderId="16" xfId="0" applyFont="1" applyFill="1" applyBorder="1" applyAlignment="1">
      <alignment horizontal="center" vertical="center" wrapText="1"/>
    </xf>
    <xf numFmtId="0" fontId="3" fillId="24" borderId="16" xfId="0" applyFont="1" applyFill="1" applyBorder="1" applyAlignment="1">
      <alignment horizontal="center" vertical="center" wrapText="1"/>
    </xf>
    <xf numFmtId="0" fontId="5" fillId="24" borderId="16" xfId="0" applyFont="1" applyFill="1" applyBorder="1" applyAlignment="1">
      <alignment horizontal="center" vertical="center" wrapText="1"/>
    </xf>
    <xf numFmtId="0" fontId="5" fillId="15" borderId="16" xfId="0" applyFont="1" applyFill="1" applyBorder="1" applyAlignment="1">
      <alignment horizontal="center" vertical="center" wrapText="1"/>
    </xf>
    <xf numFmtId="2" fontId="3" fillId="25" borderId="16" xfId="0" applyNumberFormat="1" applyFont="1" applyFill="1" applyBorder="1" applyAlignment="1">
      <alignment horizontal="center" vertical="center" wrapText="1"/>
    </xf>
    <xf numFmtId="0" fontId="3" fillId="25" borderId="16" xfId="0" applyFont="1" applyFill="1" applyBorder="1" applyAlignment="1">
      <alignment horizontal="center" vertical="center" wrapText="1"/>
    </xf>
    <xf numFmtId="0" fontId="5" fillId="17" borderId="16" xfId="0" applyFont="1" applyFill="1" applyBorder="1" applyAlignment="1">
      <alignment horizontal="center" vertical="center" wrapText="1"/>
    </xf>
    <xf numFmtId="0" fontId="3" fillId="26" borderId="16" xfId="0" applyFont="1" applyFill="1" applyBorder="1" applyAlignment="1">
      <alignment horizontal="center" vertical="center" wrapText="1"/>
    </xf>
    <xf numFmtId="0" fontId="5" fillId="18" borderId="16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18" xfId="0" applyBorder="1"/>
    <xf numFmtId="0" fontId="1" fillId="5" borderId="39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5" xfId="0" applyBorder="1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2" fillId="14" borderId="38" xfId="0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2" fillId="3" borderId="38" xfId="0" applyFont="1" applyFill="1" applyBorder="1" applyAlignment="1" applyProtection="1">
      <alignment horizontal="center" vertical="center" wrapText="1"/>
      <protection locked="0"/>
    </xf>
    <xf numFmtId="0" fontId="9" fillId="9" borderId="16" xfId="0" applyFont="1" applyFill="1" applyBorder="1" applyAlignment="1">
      <alignment horizontal="center" vertical="center"/>
    </xf>
    <xf numFmtId="0" fontId="8" fillId="9" borderId="16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/>
    </xf>
    <xf numFmtId="0" fontId="0" fillId="0" borderId="34" xfId="0" applyBorder="1"/>
    <xf numFmtId="0" fontId="7" fillId="14" borderId="21" xfId="0" applyFont="1" applyFill="1" applyBorder="1" applyAlignment="1">
      <alignment horizontal="center" vertical="center"/>
    </xf>
    <xf numFmtId="0" fontId="0" fillId="0" borderId="29" xfId="0" applyBorder="1"/>
    <xf numFmtId="0" fontId="7" fillId="7" borderId="40" xfId="0" applyFont="1" applyFill="1" applyBorder="1" applyAlignment="1">
      <alignment horizontal="center" vertical="center"/>
    </xf>
    <xf numFmtId="0" fontId="0" fillId="0" borderId="25" xfId="0" applyBorder="1"/>
    <xf numFmtId="0" fontId="7" fillId="14" borderId="18" xfId="0" applyFont="1" applyFill="1" applyBorder="1" applyAlignment="1" applyProtection="1">
      <alignment horizontal="center" vertical="center" wrapText="1"/>
      <protection locked="0"/>
    </xf>
    <xf numFmtId="0" fontId="0" fillId="0" borderId="18" xfId="0" applyBorder="1" applyProtection="1">
      <protection locked="0"/>
    </xf>
    <xf numFmtId="0" fontId="8" fillId="11" borderId="16" xfId="0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1" fillId="7" borderId="16" xfId="0" applyFont="1" applyFill="1" applyBorder="1" applyAlignment="1" applyProtection="1">
      <alignment horizontal="center" vertical="center" wrapText="1"/>
      <protection locked="0"/>
    </xf>
    <xf numFmtId="0" fontId="7" fillId="14" borderId="16" xfId="0" applyFont="1" applyFill="1" applyBorder="1" applyAlignment="1" applyProtection="1">
      <alignment horizontal="center" vertical="center" wrapText="1"/>
      <protection locked="0"/>
    </xf>
    <xf numFmtId="0" fontId="8" fillId="12" borderId="24" xfId="0" applyFont="1" applyFill="1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0" fontId="8" fillId="9" borderId="28" xfId="0" applyFont="1" applyFill="1" applyBorder="1" applyAlignment="1">
      <alignment horizontal="center" vertical="center"/>
    </xf>
    <xf numFmtId="0" fontId="3" fillId="0" borderId="0" xfId="0" applyFont="1"/>
    <xf numFmtId="0" fontId="0" fillId="0" borderId="41" xfId="0" applyBorder="1"/>
    <xf numFmtId="0" fontId="8" fillId="9" borderId="24" xfId="0" applyFont="1" applyFill="1" applyBorder="1" applyAlignment="1">
      <alignment horizontal="center" vertical="center"/>
    </xf>
    <xf numFmtId="2" fontId="22" fillId="0" borderId="16" xfId="0" applyNumberFormat="1" applyFont="1" applyBorder="1" applyAlignment="1">
      <alignment horizontal="center" vertical="center" wrapText="1"/>
    </xf>
    <xf numFmtId="0" fontId="15" fillId="14" borderId="16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3" fillId="14" borderId="16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0" fillId="0" borderId="26" xfId="0" applyBorder="1"/>
    <xf numFmtId="0" fontId="1" fillId="5" borderId="30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0" fontId="14" fillId="14" borderId="47" xfId="0" applyFont="1" applyFill="1" applyBorder="1" applyAlignment="1">
      <alignment horizontal="center" vertical="center" wrapText="1"/>
    </xf>
    <xf numFmtId="0" fontId="0" fillId="0" borderId="10" xfId="0" applyBorder="1"/>
    <xf numFmtId="0" fontId="1" fillId="2" borderId="46" xfId="0" applyFont="1" applyFill="1" applyBorder="1" applyAlignment="1">
      <alignment horizontal="center" vertical="center" wrapText="1"/>
    </xf>
    <xf numFmtId="0" fontId="0" fillId="0" borderId="35" xfId="0" applyBorder="1"/>
    <xf numFmtId="0" fontId="0" fillId="0" borderId="36" xfId="0" applyBorder="1"/>
    <xf numFmtId="0" fontId="16" fillId="3" borderId="48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32" xfId="0" applyBorder="1"/>
    <xf numFmtId="0" fontId="16" fillId="14" borderId="49" xfId="0" applyFont="1" applyFill="1" applyBorder="1" applyAlignment="1">
      <alignment horizontal="center" vertical="center" wrapText="1"/>
    </xf>
    <xf numFmtId="0" fontId="18" fillId="5" borderId="45" xfId="0" applyFont="1" applyFill="1" applyBorder="1" applyAlignment="1">
      <alignment horizontal="center" vertical="center" wrapText="1"/>
    </xf>
    <xf numFmtId="0" fontId="0" fillId="0" borderId="37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W42"/>
  <sheetViews>
    <sheetView tabSelected="1" zoomScale="136" zoomScaleNormal="136" workbookViewId="0">
      <pane ySplit="3" topLeftCell="A4" activePane="bottomLeft" state="frozen"/>
      <selection pane="bottomLeft" activeCell="A4" sqref="A4:O4"/>
    </sheetView>
  </sheetViews>
  <sheetFormatPr baseColWidth="10" defaultRowHeight="14.5" x14ac:dyDescent="0.35"/>
  <cols>
    <col min="1" max="1" width="2.1796875" bestFit="1" customWidth="1"/>
    <col min="2" max="2" width="24.81640625" style="51" customWidth="1"/>
    <col min="3" max="3" width="8.26953125" style="51" customWidth="1"/>
    <col min="4" max="4" width="8.81640625" style="51" customWidth="1"/>
    <col min="5" max="7" width="7.26953125" style="76" customWidth="1"/>
    <col min="8" max="15" width="7.81640625" style="51" customWidth="1"/>
  </cols>
  <sheetData>
    <row r="1" spans="1:15" s="31" customFormat="1" ht="15.75" customHeight="1" thickBot="1" x14ac:dyDescent="0.4">
      <c r="A1" s="155" t="s">
        <v>46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71"/>
      <c r="O1" s="71"/>
    </row>
    <row r="2" spans="1:15" s="31" customFormat="1" ht="13.5" customHeight="1" thickBot="1" x14ac:dyDescent="0.4">
      <c r="A2" s="160" t="s">
        <v>1</v>
      </c>
      <c r="B2" s="158"/>
      <c r="C2" s="158"/>
      <c r="D2" s="158"/>
      <c r="E2" s="158"/>
      <c r="F2" s="158"/>
      <c r="G2" s="159"/>
      <c r="H2" s="157" t="s">
        <v>47</v>
      </c>
      <c r="I2" s="158"/>
      <c r="J2" s="158"/>
      <c r="K2" s="159"/>
      <c r="L2" s="157" t="s">
        <v>48</v>
      </c>
      <c r="M2" s="158"/>
      <c r="N2" s="158"/>
      <c r="O2" s="159"/>
    </row>
    <row r="3" spans="1:15" ht="14.25" customHeight="1" thickBot="1" x14ac:dyDescent="0.4">
      <c r="A3" s="1" t="s">
        <v>174</v>
      </c>
      <c r="B3" s="2" t="s">
        <v>5</v>
      </c>
      <c r="C3" s="10" t="s">
        <v>6</v>
      </c>
      <c r="D3" s="2" t="s">
        <v>7</v>
      </c>
      <c r="E3" s="41" t="s">
        <v>8</v>
      </c>
      <c r="F3" s="42" t="s">
        <v>9</v>
      </c>
      <c r="G3" s="43" t="s">
        <v>10</v>
      </c>
      <c r="H3" s="44" t="s">
        <v>11</v>
      </c>
      <c r="I3" s="2" t="s">
        <v>12</v>
      </c>
      <c r="J3" s="2" t="s">
        <v>49</v>
      </c>
      <c r="K3" s="2" t="s">
        <v>10</v>
      </c>
      <c r="L3" s="45" t="s">
        <v>11</v>
      </c>
      <c r="M3" s="46" t="s">
        <v>12</v>
      </c>
      <c r="N3" s="47" t="s">
        <v>49</v>
      </c>
      <c r="O3" s="46" t="s">
        <v>10</v>
      </c>
    </row>
    <row r="4" spans="1:15" ht="7.5" customHeight="1" x14ac:dyDescent="0.35">
      <c r="A4" s="152" t="s">
        <v>50</v>
      </c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4"/>
    </row>
    <row r="5" spans="1:15" ht="14.25" customHeight="1" x14ac:dyDescent="0.35">
      <c r="A5" s="23">
        <v>1</v>
      </c>
      <c r="B5" s="50" t="s">
        <v>51</v>
      </c>
      <c r="C5" s="61">
        <v>45181</v>
      </c>
      <c r="D5" s="9" t="str">
        <f ca="1">DATEDIF(C5,TODAY(),"y") &amp; " años "  &amp; DATEDIF(C5,TODAY(),"ym") &amp; " meses "</f>
        <v xml:space="preserve">3 años 0 meses </v>
      </c>
      <c r="E5" s="20">
        <v>14.5</v>
      </c>
      <c r="F5" s="20">
        <v>94.7</v>
      </c>
      <c r="G5" s="20">
        <f t="shared" ref="G5:G10" si="0">E5/(F5/100)^2</f>
        <v>16.168437203462496</v>
      </c>
      <c r="H5" s="141" t="s">
        <v>20</v>
      </c>
      <c r="I5" s="37" t="s">
        <v>16</v>
      </c>
      <c r="J5" s="141" t="s">
        <v>20</v>
      </c>
      <c r="K5" s="141" t="s">
        <v>20</v>
      </c>
      <c r="L5" s="37" t="s">
        <v>16</v>
      </c>
      <c r="M5" s="37" t="s">
        <v>16</v>
      </c>
      <c r="N5" s="37" t="s">
        <v>16</v>
      </c>
      <c r="O5" s="37" t="s">
        <v>30</v>
      </c>
    </row>
    <row r="6" spans="1:15" ht="17.25" customHeight="1" x14ac:dyDescent="0.35">
      <c r="A6" s="23">
        <v>2</v>
      </c>
      <c r="B6" s="50" t="s">
        <v>52</v>
      </c>
      <c r="C6" s="55">
        <v>45495</v>
      </c>
      <c r="D6" s="9" t="str">
        <f ca="1">DATEDIF(C6,TODAY(),"y") &amp; " años " &amp; DATEDIF(C6,TODAY(),"ym") &amp; " meses "</f>
        <v xml:space="preserve">2 años 2 meses </v>
      </c>
      <c r="E6" s="20">
        <v>15.35</v>
      </c>
      <c r="F6" s="20">
        <v>87.5</v>
      </c>
      <c r="G6" s="20">
        <f t="shared" si="0"/>
        <v>20.048979591836734</v>
      </c>
      <c r="H6" s="147" t="s">
        <v>24</v>
      </c>
      <c r="I6" s="37" t="s">
        <v>16</v>
      </c>
      <c r="J6" s="147" t="s">
        <v>53</v>
      </c>
      <c r="K6" s="147" t="s">
        <v>53</v>
      </c>
      <c r="L6" s="37" t="s">
        <v>16</v>
      </c>
      <c r="M6" s="37" t="s">
        <v>16</v>
      </c>
      <c r="N6" s="145" t="s">
        <v>54</v>
      </c>
      <c r="O6" s="37" t="s">
        <v>30</v>
      </c>
    </row>
    <row r="7" spans="1:15" ht="14.25" customHeight="1" x14ac:dyDescent="0.35">
      <c r="A7" s="23">
        <v>3</v>
      </c>
      <c r="B7" s="50" t="s">
        <v>55</v>
      </c>
      <c r="C7" s="55">
        <v>45669</v>
      </c>
      <c r="D7" s="9" t="str">
        <f ca="1">DATEDIF(C7,TODAY(),"y") &amp; " años " &amp; DATEDIF(C7,TODAY(),"ym") &amp; " meses "</f>
        <v xml:space="preserve">1 años 8 meses </v>
      </c>
      <c r="E7" s="20">
        <v>11.95</v>
      </c>
      <c r="F7" s="20">
        <v>81.900000000000006</v>
      </c>
      <c r="G7" s="20">
        <f t="shared" si="0"/>
        <v>17.815585581153343</v>
      </c>
      <c r="H7" s="141" t="s">
        <v>20</v>
      </c>
      <c r="I7" s="37" t="s">
        <v>16</v>
      </c>
      <c r="J7" s="145" t="s">
        <v>17</v>
      </c>
      <c r="K7" s="145" t="s">
        <v>17</v>
      </c>
      <c r="L7" s="37" t="s">
        <v>16</v>
      </c>
      <c r="M7" s="37" t="s">
        <v>16</v>
      </c>
      <c r="N7" s="37" t="s">
        <v>16</v>
      </c>
      <c r="O7" s="37" t="s">
        <v>30</v>
      </c>
    </row>
    <row r="8" spans="1:15" ht="14.25" customHeight="1" x14ac:dyDescent="0.35">
      <c r="A8" s="24">
        <v>4</v>
      </c>
      <c r="B8" s="50" t="s">
        <v>56</v>
      </c>
      <c r="C8" s="55">
        <v>45805</v>
      </c>
      <c r="D8" s="9" t="str">
        <f ca="1">DATEDIF(C8,TODAY(),"y") &amp; " años " &amp; DATEDIF(C8,TODAY(),"ym") &amp; " meses "</f>
        <v xml:space="preserve">1 años 4 meses </v>
      </c>
      <c r="E8" s="20">
        <v>11</v>
      </c>
      <c r="F8" s="20">
        <v>78.5</v>
      </c>
      <c r="G8" s="20">
        <f t="shared" si="0"/>
        <v>17.850622743316158</v>
      </c>
      <c r="H8" s="141" t="s">
        <v>20</v>
      </c>
      <c r="I8" s="37" t="s">
        <v>16</v>
      </c>
      <c r="J8" s="141" t="s">
        <v>20</v>
      </c>
      <c r="K8" s="141" t="s">
        <v>20</v>
      </c>
      <c r="L8" s="37" t="s">
        <v>16</v>
      </c>
      <c r="M8" s="37" t="s">
        <v>16</v>
      </c>
      <c r="N8" s="37" t="s">
        <v>16</v>
      </c>
      <c r="O8" s="37" t="s">
        <v>30</v>
      </c>
    </row>
    <row r="9" spans="1:15" ht="14.25" customHeight="1" x14ac:dyDescent="0.35">
      <c r="A9" s="24">
        <v>5</v>
      </c>
      <c r="B9" s="50" t="s">
        <v>57</v>
      </c>
      <c r="C9" s="55">
        <v>44932</v>
      </c>
      <c r="D9" s="9" t="str">
        <f ca="1">DATEDIF(C9,TODAY(),"y") &amp; " años " &amp; DATEDIF(C9,TODAY(),"ym") &amp; " meses "</f>
        <v xml:space="preserve">3 años 9 meses </v>
      </c>
      <c r="E9" s="20">
        <v>14.65</v>
      </c>
      <c r="F9" s="20">
        <v>92.7</v>
      </c>
      <c r="G9" s="20">
        <f t="shared" si="0"/>
        <v>17.048185270135185</v>
      </c>
      <c r="H9" s="37" t="s">
        <v>16</v>
      </c>
      <c r="I9" s="142" t="s">
        <v>58</v>
      </c>
      <c r="J9" s="141" t="s">
        <v>20</v>
      </c>
      <c r="K9" s="141" t="s">
        <v>20</v>
      </c>
      <c r="L9" s="37" t="s">
        <v>16</v>
      </c>
      <c r="M9" s="37" t="s">
        <v>16</v>
      </c>
      <c r="N9" s="37" t="s">
        <v>16</v>
      </c>
      <c r="O9" s="37" t="s">
        <v>30</v>
      </c>
    </row>
    <row r="10" spans="1:15" ht="14.25" customHeight="1" x14ac:dyDescent="0.35">
      <c r="A10" s="24">
        <v>6</v>
      </c>
      <c r="B10" s="68" t="s">
        <v>59</v>
      </c>
      <c r="C10" s="55">
        <v>45661</v>
      </c>
      <c r="D10" s="9" t="str">
        <f ca="1">DATEDIF(C10,TODAY(),"y") &amp; " años " &amp; DATEDIF(C10,TODAY(),"ym") &amp; " meses "</f>
        <v xml:space="preserve">1 años 9 meses </v>
      </c>
      <c r="E10" s="20">
        <v>10.9</v>
      </c>
      <c r="F10" s="20">
        <v>76</v>
      </c>
      <c r="G10" s="20">
        <f t="shared" si="0"/>
        <v>18.871191135734072</v>
      </c>
      <c r="H10" s="141" t="s">
        <v>20</v>
      </c>
      <c r="I10" s="142" t="s">
        <v>21</v>
      </c>
      <c r="J10" s="141" t="s">
        <v>20</v>
      </c>
      <c r="K10" s="37" t="s">
        <v>17</v>
      </c>
      <c r="L10" s="37" t="s">
        <v>16</v>
      </c>
      <c r="M10" s="37" t="s">
        <v>16</v>
      </c>
      <c r="N10" s="147" t="s">
        <v>60</v>
      </c>
      <c r="O10" s="37" t="s">
        <v>30</v>
      </c>
    </row>
    <row r="11" spans="1:15" ht="12.75" customHeight="1" x14ac:dyDescent="0.35">
      <c r="A11" s="149" t="s">
        <v>61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1"/>
    </row>
    <row r="12" spans="1:15" ht="12.75" customHeight="1" x14ac:dyDescent="0.35">
      <c r="A12" s="23">
        <v>1</v>
      </c>
      <c r="B12" s="50" t="s">
        <v>62</v>
      </c>
      <c r="C12" s="55">
        <v>44425</v>
      </c>
      <c r="D12" s="9" t="str">
        <f ca="1">DATEDIF(C12,TODAY(),"y") &amp; " años "  &amp; DATEDIF(C12,TODAY(),"ym") &amp; " meses "</f>
        <v xml:space="preserve">5 años 1 meses </v>
      </c>
      <c r="E12" s="36">
        <v>13.4</v>
      </c>
      <c r="F12" s="36">
        <v>93.5</v>
      </c>
      <c r="G12" s="20">
        <f t="shared" ref="G12:G17" si="1">E12/(F12/100)^2</f>
        <v>15.327861820469556</v>
      </c>
      <c r="H12" s="138" t="s">
        <v>63</v>
      </c>
      <c r="I12" s="146" t="s">
        <v>31</v>
      </c>
      <c r="J12" s="38" t="s">
        <v>16</v>
      </c>
      <c r="K12" s="38" t="s">
        <v>16</v>
      </c>
      <c r="L12" s="138" t="s">
        <v>27</v>
      </c>
      <c r="M12" s="120" t="s">
        <v>23</v>
      </c>
      <c r="N12" s="9" t="s">
        <v>16</v>
      </c>
      <c r="O12" s="9" t="s">
        <v>30</v>
      </c>
    </row>
    <row r="13" spans="1:15" ht="12.75" customHeight="1" x14ac:dyDescent="0.35">
      <c r="A13" s="9">
        <v>3</v>
      </c>
      <c r="B13" s="50" t="s">
        <v>64</v>
      </c>
      <c r="C13" s="55">
        <v>44935</v>
      </c>
      <c r="D13" s="9" t="str">
        <f ca="1">DATEDIF(C13,TODAY(),"y") &amp; " años " &amp; DATEDIF(C13,TODAY(),"ym") &amp; " meses "</f>
        <v xml:space="preserve">3 años 8 meses </v>
      </c>
      <c r="E13" s="36">
        <v>15.15</v>
      </c>
      <c r="F13" s="36">
        <v>93.6</v>
      </c>
      <c r="G13" s="20">
        <f t="shared" si="1"/>
        <v>17.292625465702393</v>
      </c>
      <c r="H13" s="38" t="s">
        <v>16</v>
      </c>
      <c r="I13" s="81" t="s">
        <v>21</v>
      </c>
      <c r="J13" s="109" t="s">
        <v>17</v>
      </c>
      <c r="K13" s="109" t="s">
        <v>17</v>
      </c>
      <c r="L13" s="9" t="s">
        <v>16</v>
      </c>
      <c r="M13" s="9" t="s">
        <v>16</v>
      </c>
      <c r="N13" s="9" t="s">
        <v>16</v>
      </c>
      <c r="O13" s="9" t="s">
        <v>30</v>
      </c>
    </row>
    <row r="14" spans="1:15" ht="12.75" customHeight="1" x14ac:dyDescent="0.35">
      <c r="A14" s="4">
        <v>4</v>
      </c>
      <c r="B14" s="50" t="s">
        <v>65</v>
      </c>
      <c r="C14" s="55">
        <v>44994</v>
      </c>
      <c r="D14" s="9" t="str">
        <f ca="1">DATEDIF(C14,TODAY(),"y") &amp; " años " &amp; DATEDIF(C14,TODAY(),"ym") &amp; " meses "</f>
        <v xml:space="preserve">3 años 6 meses </v>
      </c>
      <c r="E14" s="36">
        <v>14.6</v>
      </c>
      <c r="F14" s="36">
        <v>94.9</v>
      </c>
      <c r="G14" s="20">
        <f t="shared" si="1"/>
        <v>16.211396611818106</v>
      </c>
      <c r="H14" s="38" t="s">
        <v>16</v>
      </c>
      <c r="I14" s="144" t="s">
        <v>23</v>
      </c>
      <c r="J14" s="140" t="s">
        <v>20</v>
      </c>
      <c r="K14" s="140" t="s">
        <v>20</v>
      </c>
      <c r="L14" s="9" t="s">
        <v>16</v>
      </c>
      <c r="M14" s="9" t="s">
        <v>16</v>
      </c>
      <c r="N14" s="9" t="s">
        <v>16</v>
      </c>
      <c r="O14" s="9" t="s">
        <v>30</v>
      </c>
    </row>
    <row r="15" spans="1:15" ht="12.75" customHeight="1" x14ac:dyDescent="0.35">
      <c r="A15" s="4">
        <v>5</v>
      </c>
      <c r="B15" s="49" t="s">
        <v>66</v>
      </c>
      <c r="C15" s="55">
        <v>44553</v>
      </c>
      <c r="D15" s="9" t="str">
        <f ca="1">DATEDIF(C15,TODAY(),"y") &amp; " años " &amp; DATEDIF(C15,TODAY(),"ym") &amp; " meses "</f>
        <v xml:space="preserve">4 años 9 meses </v>
      </c>
      <c r="E15" s="36">
        <v>19.05</v>
      </c>
      <c r="F15" s="36">
        <v>97.8</v>
      </c>
      <c r="G15" s="20">
        <f t="shared" si="1"/>
        <v>19.916694895053134</v>
      </c>
      <c r="H15" s="140" t="s">
        <v>20</v>
      </c>
      <c r="I15" s="146" t="s">
        <v>31</v>
      </c>
      <c r="J15" s="110" t="s">
        <v>24</v>
      </c>
      <c r="K15" s="110" t="s">
        <v>24</v>
      </c>
      <c r="L15" s="9" t="s">
        <v>16</v>
      </c>
      <c r="M15" s="9" t="s">
        <v>16</v>
      </c>
      <c r="N15" s="110" t="s">
        <v>24</v>
      </c>
      <c r="O15" s="9" t="s">
        <v>30</v>
      </c>
    </row>
    <row r="16" spans="1:15" ht="12.75" customHeight="1" x14ac:dyDescent="0.35">
      <c r="A16" s="4">
        <v>6</v>
      </c>
      <c r="B16" s="68" t="s">
        <v>67</v>
      </c>
      <c r="C16" s="55">
        <v>44711</v>
      </c>
      <c r="D16" s="9" t="str">
        <f ca="1">DATEDIF(C16,TODAY(),"y") &amp; " años " &amp; DATEDIF(C16,TODAY(),"ym") &amp; " meses "</f>
        <v xml:space="preserve">4 años 4 meses </v>
      </c>
      <c r="E16" s="36">
        <v>14.6</v>
      </c>
      <c r="F16" s="36">
        <v>97.6</v>
      </c>
      <c r="G16" s="20">
        <f t="shared" si="1"/>
        <v>15.326861058855146</v>
      </c>
      <c r="H16" s="138" t="s">
        <v>27</v>
      </c>
      <c r="I16" s="81" t="s">
        <v>21</v>
      </c>
      <c r="J16" s="9" t="s">
        <v>16</v>
      </c>
      <c r="K16" s="9" t="s">
        <v>16</v>
      </c>
      <c r="L16" s="9" t="s">
        <v>16</v>
      </c>
      <c r="M16" s="9" t="s">
        <v>16</v>
      </c>
      <c r="N16" s="9" t="s">
        <v>16</v>
      </c>
      <c r="O16" s="38" t="s">
        <v>30</v>
      </c>
    </row>
    <row r="17" spans="1:23" ht="12.75" customHeight="1" x14ac:dyDescent="0.35">
      <c r="A17" s="4">
        <v>7</v>
      </c>
      <c r="B17" s="68" t="s">
        <v>68</v>
      </c>
      <c r="C17" s="55">
        <v>44681</v>
      </c>
      <c r="D17" s="9" t="str">
        <f ca="1">DATEDIF(C17,TODAY(),"y") &amp; " años " &amp; DATEDIF(C17,TODAY(),"ym") &amp; " meses "</f>
        <v xml:space="preserve">4 años 5 meses </v>
      </c>
      <c r="E17" s="36">
        <v>22.7</v>
      </c>
      <c r="F17" s="36">
        <v>101.5</v>
      </c>
      <c r="G17" s="20">
        <f t="shared" si="1"/>
        <v>22.034021694290086</v>
      </c>
      <c r="H17" s="110" t="s">
        <v>24</v>
      </c>
      <c r="I17" s="9" t="s">
        <v>16</v>
      </c>
      <c r="J17" s="110" t="s">
        <v>24</v>
      </c>
      <c r="K17" s="110" t="s">
        <v>24</v>
      </c>
      <c r="L17" s="110" t="s">
        <v>24</v>
      </c>
      <c r="M17" s="9" t="s">
        <v>16</v>
      </c>
      <c r="N17" s="110" t="s">
        <v>24</v>
      </c>
      <c r="O17" s="38" t="s">
        <v>30</v>
      </c>
      <c r="Q17" s="35" t="s">
        <v>69</v>
      </c>
    </row>
    <row r="18" spans="1:23" ht="12.75" customHeight="1" x14ac:dyDescent="0.35">
      <c r="A18" s="149" t="s">
        <v>70</v>
      </c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1"/>
    </row>
    <row r="19" spans="1:23" ht="12.75" customHeight="1" x14ac:dyDescent="0.35">
      <c r="A19" s="9">
        <v>1</v>
      </c>
      <c r="B19" s="68" t="s">
        <v>71</v>
      </c>
      <c r="C19" s="61">
        <v>44364</v>
      </c>
      <c r="D19" s="9" t="str">
        <f ca="1">DATEDIF(C19,TODAY(),"y") &amp; " años "  &amp; DATEDIF(C19,TODAY(),"ym") &amp; " meses "</f>
        <v xml:space="preserve">5 años 3 meses </v>
      </c>
      <c r="E19" s="36">
        <v>17.95</v>
      </c>
      <c r="F19" s="36">
        <v>106.4</v>
      </c>
      <c r="G19" s="36">
        <f t="shared" ref="G19:G25" si="2">E19/(F19/100)^2</f>
        <v>15.855545819435804</v>
      </c>
      <c r="H19" s="36" t="s">
        <v>16</v>
      </c>
      <c r="I19" s="143" t="s">
        <v>23</v>
      </c>
      <c r="J19" s="36" t="s">
        <v>16</v>
      </c>
      <c r="K19" s="36" t="s">
        <v>16</v>
      </c>
      <c r="L19" s="36" t="s">
        <v>30</v>
      </c>
      <c r="M19" s="36" t="s">
        <v>16</v>
      </c>
      <c r="N19" s="36" t="s">
        <v>30</v>
      </c>
      <c r="O19" s="36" t="s">
        <v>16</v>
      </c>
      <c r="P19" s="8"/>
      <c r="Q19" s="8"/>
      <c r="R19" s="8"/>
      <c r="S19" s="8"/>
      <c r="T19" s="8"/>
      <c r="U19" s="8"/>
      <c r="V19" s="8"/>
    </row>
    <row r="20" spans="1:23" s="3" customFormat="1" ht="12.75" customHeight="1" x14ac:dyDescent="0.35">
      <c r="A20" s="4">
        <v>2</v>
      </c>
      <c r="B20" s="68" t="s">
        <v>72</v>
      </c>
      <c r="C20" s="61">
        <v>44152</v>
      </c>
      <c r="D20" s="9" t="str">
        <f ca="1">DATEDIF(C20,TODAY(),"y") &amp; " años " &amp; DATEDIF(C20,TODAY(),"ym") &amp; " meses "</f>
        <v xml:space="preserve">5 años 10 meses </v>
      </c>
      <c r="E20" s="36">
        <v>21.4</v>
      </c>
      <c r="F20" s="36">
        <v>114</v>
      </c>
      <c r="G20" s="20">
        <f t="shared" si="2"/>
        <v>16.466605109264389</v>
      </c>
      <c r="H20" s="140" t="s">
        <v>20</v>
      </c>
      <c r="I20" s="9" t="s">
        <v>16</v>
      </c>
      <c r="J20" s="9" t="s">
        <v>30</v>
      </c>
      <c r="K20" s="140" t="s">
        <v>20</v>
      </c>
      <c r="L20" s="36" t="s">
        <v>30</v>
      </c>
      <c r="M20" s="9" t="s">
        <v>16</v>
      </c>
      <c r="N20" s="9" t="s">
        <v>30</v>
      </c>
      <c r="O20" s="9" t="s">
        <v>16</v>
      </c>
      <c r="P20" s="8"/>
      <c r="Q20" s="8"/>
      <c r="R20" s="8"/>
      <c r="S20" s="8"/>
      <c r="T20" s="8"/>
      <c r="U20" s="8"/>
      <c r="V20" s="8"/>
      <c r="W20" s="8"/>
    </row>
    <row r="21" spans="1:23" ht="12.75" customHeight="1" x14ac:dyDescent="0.35">
      <c r="A21" s="4">
        <v>3</v>
      </c>
      <c r="B21" s="50" t="s">
        <v>73</v>
      </c>
      <c r="C21" s="55">
        <v>44372</v>
      </c>
      <c r="D21" s="9" t="str">
        <f ca="1">DATEDIF(C21,TODAY(),"y") &amp; " años " &amp; DATEDIF(C21,TODAY(),"ym") &amp; " meses "</f>
        <v xml:space="preserve">5 años 3 meses </v>
      </c>
      <c r="E21" s="36">
        <v>23.04</v>
      </c>
      <c r="F21" s="36">
        <v>108</v>
      </c>
      <c r="G21" s="20">
        <f t="shared" si="2"/>
        <v>19.753086419753085</v>
      </c>
      <c r="H21" s="109" t="s">
        <v>54</v>
      </c>
      <c r="I21" s="9" t="s">
        <v>16</v>
      </c>
      <c r="J21" s="9" t="s">
        <v>30</v>
      </c>
      <c r="K21" s="109" t="s">
        <v>17</v>
      </c>
      <c r="L21" s="36" t="s">
        <v>30</v>
      </c>
      <c r="M21" s="9" t="s">
        <v>16</v>
      </c>
      <c r="N21" s="9" t="s">
        <v>30</v>
      </c>
      <c r="O21" s="140" t="s">
        <v>20</v>
      </c>
    </row>
    <row r="22" spans="1:23" ht="12.75" customHeight="1" x14ac:dyDescent="0.35">
      <c r="A22" s="25">
        <v>4</v>
      </c>
      <c r="B22" s="72" t="s">
        <v>74</v>
      </c>
      <c r="C22" s="73">
        <v>44525</v>
      </c>
      <c r="D22" s="9" t="str">
        <f ca="1">DATEDIF(C22,TODAY(),"y") &amp; " años " &amp; DATEDIF(C22,TODAY(),"ym") &amp; " meses "</f>
        <v xml:space="preserve">4 años 10 meses </v>
      </c>
      <c r="E22" s="36">
        <v>16.899999999999999</v>
      </c>
      <c r="F22" s="36">
        <v>102</v>
      </c>
      <c r="G22" s="20">
        <f t="shared" si="2"/>
        <v>16.243752402921952</v>
      </c>
      <c r="H22" s="9" t="s">
        <v>16</v>
      </c>
      <c r="I22" s="81" t="s">
        <v>21</v>
      </c>
      <c r="J22" s="9" t="s">
        <v>30</v>
      </c>
      <c r="K22" s="9" t="s">
        <v>18</v>
      </c>
      <c r="L22" s="9" t="s">
        <v>30</v>
      </c>
      <c r="M22" s="9" t="s">
        <v>16</v>
      </c>
      <c r="N22" s="9" t="s">
        <v>16</v>
      </c>
      <c r="O22" s="9" t="s">
        <v>16</v>
      </c>
    </row>
    <row r="23" spans="1:23" s="8" customFormat="1" ht="12.75" customHeight="1" x14ac:dyDescent="0.35">
      <c r="A23" s="25">
        <v>5</v>
      </c>
      <c r="B23" s="74" t="s">
        <v>75</v>
      </c>
      <c r="C23" s="75">
        <v>44349</v>
      </c>
      <c r="D23" s="9" t="str">
        <f ca="1">DATEDIF(C23,TODAY(),"y") &amp; " años " &amp; DATEDIF(C23,TODAY(),"ym") &amp; " meses "</f>
        <v xml:space="preserve">5 años 4 meses </v>
      </c>
      <c r="E23" s="36">
        <v>16.25</v>
      </c>
      <c r="F23" s="36">
        <v>99.2</v>
      </c>
      <c r="G23" s="20">
        <f t="shared" si="2"/>
        <v>16.513153616024976</v>
      </c>
      <c r="H23" s="138" t="s">
        <v>27</v>
      </c>
      <c r="I23" s="146" t="s">
        <v>31</v>
      </c>
      <c r="J23" s="9" t="s">
        <v>30</v>
      </c>
      <c r="K23" s="9" t="s">
        <v>16</v>
      </c>
      <c r="L23" s="9" t="s">
        <v>30</v>
      </c>
      <c r="M23" s="120" t="s">
        <v>23</v>
      </c>
      <c r="N23" s="9" t="s">
        <v>30</v>
      </c>
      <c r="O23" s="9" t="s">
        <v>16</v>
      </c>
      <c r="P23" s="83"/>
    </row>
    <row r="24" spans="1:23" ht="12.75" customHeight="1" x14ac:dyDescent="0.35">
      <c r="A24" s="4">
        <v>6</v>
      </c>
      <c r="B24" s="50" t="s">
        <v>76</v>
      </c>
      <c r="C24" s="54">
        <v>44107</v>
      </c>
      <c r="D24" s="9" t="str">
        <f ca="1">DATEDIF(C24,TODAY(),"y") &amp; " años " &amp; DATEDIF(C24,TODAY(),"ym") &amp; " meses "</f>
        <v xml:space="preserve">6 años 0 meses </v>
      </c>
      <c r="E24" s="36">
        <v>19.55</v>
      </c>
      <c r="F24" s="36">
        <v>104.4</v>
      </c>
      <c r="G24" s="20">
        <f t="shared" si="2"/>
        <v>17.936832988358951</v>
      </c>
      <c r="H24" s="9" t="s">
        <v>16</v>
      </c>
      <c r="I24" s="81" t="s">
        <v>58</v>
      </c>
      <c r="J24" s="9" t="s">
        <v>30</v>
      </c>
      <c r="K24" s="109" t="s">
        <v>17</v>
      </c>
      <c r="L24" s="9" t="s">
        <v>30</v>
      </c>
      <c r="M24" s="9" t="s">
        <v>16</v>
      </c>
      <c r="N24" s="9" t="s">
        <v>30</v>
      </c>
      <c r="O24" s="140" t="s">
        <v>20</v>
      </c>
      <c r="Q24" s="114"/>
    </row>
    <row r="25" spans="1:23" ht="12.75" customHeight="1" x14ac:dyDescent="0.35">
      <c r="A25" s="4">
        <v>7</v>
      </c>
      <c r="B25" s="50" t="s">
        <v>77</v>
      </c>
      <c r="C25" s="54">
        <v>44530</v>
      </c>
      <c r="D25" s="9" t="str">
        <f ca="1">DATEDIF(C25,TODAY(),"y") &amp; " años "  &amp; DATEDIF(C25,TODAY(),"ym") &amp; " meses "</f>
        <v xml:space="preserve">4 años 10 meses </v>
      </c>
      <c r="E25" s="36">
        <v>17.600000000000001</v>
      </c>
      <c r="F25" s="36">
        <v>104.4</v>
      </c>
      <c r="G25" s="20">
        <f t="shared" si="2"/>
        <v>16.147737114839771</v>
      </c>
      <c r="H25" s="9" t="s">
        <v>16</v>
      </c>
      <c r="I25" s="9" t="s">
        <v>16</v>
      </c>
      <c r="J25" s="9" t="s">
        <v>30</v>
      </c>
      <c r="K25" s="9" t="s">
        <v>16</v>
      </c>
      <c r="L25" s="9" t="s">
        <v>30</v>
      </c>
      <c r="M25" s="9" t="s">
        <v>16</v>
      </c>
      <c r="N25" s="9" t="s">
        <v>16</v>
      </c>
      <c r="O25" s="9" t="s">
        <v>16</v>
      </c>
    </row>
    <row r="26" spans="1:23" ht="12.75" customHeight="1" x14ac:dyDescent="0.35">
      <c r="A26" s="149" t="s">
        <v>78</v>
      </c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1"/>
    </row>
    <row r="27" spans="1:23" ht="12.75" customHeight="1" x14ac:dyDescent="0.35">
      <c r="A27" s="9">
        <v>1</v>
      </c>
      <c r="B27" s="49" t="s">
        <v>79</v>
      </c>
      <c r="C27" s="54">
        <v>43641</v>
      </c>
      <c r="D27" s="9" t="str">
        <f ca="1">DATEDIF(C27,TODAY(),"y") &amp; " años "  &amp; DATEDIF(C27,TODAY(),"ym") &amp; " meses "</f>
        <v xml:space="preserve">7 años 3 meses </v>
      </c>
      <c r="E27" s="36">
        <v>25.25</v>
      </c>
      <c r="F27" s="36">
        <v>119.5</v>
      </c>
      <c r="G27" s="20">
        <f t="shared" ref="G27:G33" si="3">E27/(F27/100)^2</f>
        <v>17.681763274452475</v>
      </c>
      <c r="H27" s="9" t="s">
        <v>16</v>
      </c>
      <c r="I27" s="9" t="s">
        <v>16</v>
      </c>
      <c r="J27" s="37" t="s">
        <v>30</v>
      </c>
      <c r="K27" s="109" t="s">
        <v>17</v>
      </c>
      <c r="L27" s="9" t="s">
        <v>30</v>
      </c>
      <c r="M27" s="9" t="s">
        <v>16</v>
      </c>
      <c r="N27" s="9" t="s">
        <v>30</v>
      </c>
      <c r="O27" s="109" t="s">
        <v>17</v>
      </c>
      <c r="P27" s="84"/>
    </row>
    <row r="28" spans="1:23" ht="12.75" customHeight="1" x14ac:dyDescent="0.35">
      <c r="A28" s="4">
        <v>2</v>
      </c>
      <c r="B28" s="50" t="s">
        <v>80</v>
      </c>
      <c r="C28" s="55">
        <v>43843</v>
      </c>
      <c r="D28" s="9" t="str">
        <f ca="1">DATEDIF(C28,TODAY(),"y") &amp; " años " &amp; DATEDIF(C28,TODAY(),"ym") &amp; " meses "</f>
        <v xml:space="preserve">6 años 8 meses </v>
      </c>
      <c r="E28" s="36">
        <v>25.25</v>
      </c>
      <c r="F28" s="36">
        <v>119.3</v>
      </c>
      <c r="G28" s="20">
        <f t="shared" si="3"/>
        <v>17.741098008851576</v>
      </c>
      <c r="H28" s="109" t="s">
        <v>17</v>
      </c>
      <c r="I28" s="9" t="s">
        <v>16</v>
      </c>
      <c r="J28" s="37" t="s">
        <v>30</v>
      </c>
      <c r="K28" s="109" t="s">
        <v>17</v>
      </c>
      <c r="L28" s="9" t="s">
        <v>30</v>
      </c>
      <c r="M28" s="9" t="s">
        <v>16</v>
      </c>
      <c r="N28" s="9" t="s">
        <v>30</v>
      </c>
      <c r="O28" s="109" t="s">
        <v>17</v>
      </c>
    </row>
    <row r="29" spans="1:23" ht="12.75" customHeight="1" x14ac:dyDescent="0.35">
      <c r="A29" s="4">
        <v>3</v>
      </c>
      <c r="B29" s="50" t="s">
        <v>81</v>
      </c>
      <c r="C29" s="55">
        <v>43843</v>
      </c>
      <c r="D29" s="9" t="str">
        <f ca="1">DATEDIF(C29,TODAY(),"y") &amp; " años " &amp; DATEDIF(C29,TODAY(),"ym") &amp; " meses "</f>
        <v xml:space="preserve">6 años 8 meses </v>
      </c>
      <c r="E29" s="36">
        <v>24.05</v>
      </c>
      <c r="F29" s="36">
        <v>117.4</v>
      </c>
      <c r="G29" s="20">
        <f t="shared" si="3"/>
        <v>17.449335256508853</v>
      </c>
      <c r="H29" s="9" t="s">
        <v>16</v>
      </c>
      <c r="I29" s="9" t="s">
        <v>16</v>
      </c>
      <c r="J29" s="37" t="s">
        <v>30</v>
      </c>
      <c r="K29" s="109" t="s">
        <v>17</v>
      </c>
      <c r="L29" s="9" t="s">
        <v>30</v>
      </c>
      <c r="M29" s="9" t="s">
        <v>16</v>
      </c>
      <c r="N29" s="9" t="s">
        <v>30</v>
      </c>
      <c r="O29" s="109" t="s">
        <v>17</v>
      </c>
    </row>
    <row r="30" spans="1:23" ht="12.75" customHeight="1" x14ac:dyDescent="0.35">
      <c r="A30" s="4">
        <v>4</v>
      </c>
      <c r="B30" s="49" t="s">
        <v>82</v>
      </c>
      <c r="C30" s="60">
        <v>43691</v>
      </c>
      <c r="D30" s="9" t="str">
        <f ca="1">DATEDIF(C30,TODAY(),"y") &amp; " años " &amp; DATEDIF(C30,TODAY(),"ym") &amp; " meses "</f>
        <v xml:space="preserve">7 años 1 meses </v>
      </c>
      <c r="E30" s="36">
        <v>25.65</v>
      </c>
      <c r="F30" s="36">
        <v>107.4</v>
      </c>
      <c r="G30" s="20">
        <f t="shared" si="3"/>
        <v>22.237133672482127</v>
      </c>
      <c r="H30" s="9" t="s">
        <v>16</v>
      </c>
      <c r="I30" s="111" t="s">
        <v>21</v>
      </c>
      <c r="J30" s="37" t="s">
        <v>30</v>
      </c>
      <c r="K30" s="110" t="s">
        <v>24</v>
      </c>
      <c r="L30" s="9" t="s">
        <v>30</v>
      </c>
      <c r="M30" s="111" t="s">
        <v>21</v>
      </c>
      <c r="N30" s="9" t="s">
        <v>30</v>
      </c>
      <c r="O30" s="110" t="s">
        <v>24</v>
      </c>
    </row>
    <row r="31" spans="1:23" ht="12.75" customHeight="1" x14ac:dyDescent="0.35">
      <c r="A31" s="4">
        <v>5</v>
      </c>
      <c r="B31" s="49" t="s">
        <v>83</v>
      </c>
      <c r="C31" s="54">
        <v>43809</v>
      </c>
      <c r="D31" s="9" t="str">
        <f ca="1">DATEDIF(C31,TODAY(),"y") &amp; " años " &amp; DATEDIF(C31,TODAY(),"ym") &amp; " meses "</f>
        <v xml:space="preserve">6 años 9 meses </v>
      </c>
      <c r="E31" s="36">
        <v>21.6</v>
      </c>
      <c r="F31" s="36">
        <v>117.8</v>
      </c>
      <c r="G31" s="20">
        <f t="shared" si="3"/>
        <v>15.565503385496989</v>
      </c>
      <c r="H31" s="9" t="s">
        <v>16</v>
      </c>
      <c r="I31" s="9" t="s">
        <v>16</v>
      </c>
      <c r="J31" s="37" t="s">
        <v>30</v>
      </c>
      <c r="K31" s="9" t="s">
        <v>16</v>
      </c>
      <c r="L31" s="9" t="s">
        <v>30</v>
      </c>
      <c r="M31" s="9" t="s">
        <v>16</v>
      </c>
      <c r="N31" s="9" t="s">
        <v>30</v>
      </c>
      <c r="O31" s="9" t="s">
        <v>16</v>
      </c>
    </row>
    <row r="32" spans="1:23" ht="12.75" customHeight="1" x14ac:dyDescent="0.35">
      <c r="A32" s="4">
        <v>6</v>
      </c>
      <c r="B32" s="50" t="s">
        <v>84</v>
      </c>
      <c r="C32" s="60">
        <v>43791</v>
      </c>
      <c r="D32" s="9" t="str">
        <f ca="1">DATEDIF(C32,TODAY(),"y") &amp; " años " &amp; DATEDIF(C32,TODAY(),"ym") &amp; " meses "</f>
        <v xml:space="preserve">6 años 10 meses </v>
      </c>
      <c r="E32" s="36">
        <v>20.6</v>
      </c>
      <c r="F32" s="36">
        <v>110.6</v>
      </c>
      <c r="G32" s="20">
        <f t="shared" si="3"/>
        <v>16.840576961436717</v>
      </c>
      <c r="H32" s="9" t="s">
        <v>16</v>
      </c>
      <c r="I32" s="111" t="s">
        <v>58</v>
      </c>
      <c r="J32" s="37" t="s">
        <v>30</v>
      </c>
      <c r="K32" s="9" t="s">
        <v>20</v>
      </c>
      <c r="L32" s="9" t="s">
        <v>30</v>
      </c>
      <c r="M32" s="9" t="s">
        <v>16</v>
      </c>
      <c r="N32" s="9" t="s">
        <v>30</v>
      </c>
      <c r="O32" s="9" t="s">
        <v>16</v>
      </c>
    </row>
    <row r="33" spans="1:15" ht="12.75" customHeight="1" x14ac:dyDescent="0.35">
      <c r="A33" s="4">
        <v>7</v>
      </c>
      <c r="B33" s="49" t="s">
        <v>85</v>
      </c>
      <c r="C33" s="54">
        <v>43506</v>
      </c>
      <c r="D33" s="9" t="str">
        <f ca="1">DATEDIF(C33,TODAY(),"y") &amp; " años "  &amp; DATEDIF(C33,TODAY(),"ym") &amp; " meses "</f>
        <v xml:space="preserve">7 años 7 meses </v>
      </c>
      <c r="E33" s="36">
        <v>22.1</v>
      </c>
      <c r="F33" s="36">
        <v>114.4</v>
      </c>
      <c r="G33" s="20">
        <f t="shared" si="3"/>
        <v>16.886522568340748</v>
      </c>
      <c r="H33" s="9" t="s">
        <v>16</v>
      </c>
      <c r="I33" s="115" t="s">
        <v>23</v>
      </c>
      <c r="J33" s="37" t="s">
        <v>30</v>
      </c>
      <c r="K33" s="9" t="s">
        <v>16</v>
      </c>
      <c r="L33" s="9" t="s">
        <v>30</v>
      </c>
      <c r="M33" s="9" t="s">
        <v>16</v>
      </c>
      <c r="N33" s="9" t="s">
        <v>30</v>
      </c>
      <c r="O33" s="9" t="s">
        <v>16</v>
      </c>
    </row>
    <row r="34" spans="1:15" ht="12.75" customHeight="1" x14ac:dyDescent="0.35">
      <c r="A34" s="149" t="s">
        <v>86</v>
      </c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1"/>
    </row>
    <row r="35" spans="1:15" ht="12.75" customHeight="1" x14ac:dyDescent="0.35">
      <c r="A35" s="4">
        <v>1</v>
      </c>
      <c r="B35" s="68" t="s">
        <v>87</v>
      </c>
      <c r="C35" s="61">
        <v>44261</v>
      </c>
      <c r="D35" s="11" t="str">
        <f ca="1">DATEDIF(C35,TODAY(),"y") &amp; " años "  &amp; DATEDIF(C35,TODAY(),"ym") &amp; " meses "</f>
        <v xml:space="preserve">5 años 7 meses </v>
      </c>
      <c r="E35" s="36">
        <v>18.899999999999999</v>
      </c>
      <c r="F35" s="36">
        <v>105.3</v>
      </c>
      <c r="G35" s="20">
        <f>E35/(F35/100)^2</f>
        <v>17.045316190615335</v>
      </c>
      <c r="H35" s="9" t="s">
        <v>16</v>
      </c>
      <c r="I35" s="115" t="s">
        <v>23</v>
      </c>
      <c r="J35" s="9" t="s">
        <v>30</v>
      </c>
      <c r="K35" s="109" t="s">
        <v>17</v>
      </c>
      <c r="L35" s="9" t="s">
        <v>30</v>
      </c>
      <c r="M35" s="9" t="s">
        <v>16</v>
      </c>
      <c r="N35" s="9" t="s">
        <v>30</v>
      </c>
      <c r="O35" s="109" t="s">
        <v>17</v>
      </c>
    </row>
    <row r="36" spans="1:15" ht="12.75" customHeight="1" x14ac:dyDescent="0.35">
      <c r="A36" s="4">
        <v>2</v>
      </c>
      <c r="B36" s="49" t="s">
        <v>88</v>
      </c>
      <c r="C36" s="54">
        <v>43829</v>
      </c>
      <c r="D36" s="11" t="str">
        <f ca="1">DATEDIF(C36,TODAY(),"y") &amp; " años "  &amp; DATEDIF(C36,TODAY(),"ym") &amp; " meses "</f>
        <v xml:space="preserve">6 años 9 meses </v>
      </c>
      <c r="E36" s="36">
        <v>20.45</v>
      </c>
      <c r="F36" s="36">
        <v>113.3</v>
      </c>
      <c r="G36" s="20">
        <f>E36/(F36/100)^2</f>
        <v>15.930649869244029</v>
      </c>
      <c r="H36" s="9" t="s">
        <v>16</v>
      </c>
      <c r="I36" s="9" t="s">
        <v>16</v>
      </c>
      <c r="J36" s="9" t="s">
        <v>30</v>
      </c>
      <c r="K36" s="9" t="s">
        <v>16</v>
      </c>
      <c r="L36" s="9" t="s">
        <v>30</v>
      </c>
      <c r="M36" s="9" t="s">
        <v>16</v>
      </c>
      <c r="N36" s="9" t="s">
        <v>30</v>
      </c>
      <c r="O36" s="9" t="s">
        <v>16</v>
      </c>
    </row>
    <row r="37" spans="1:15" ht="12.75" customHeight="1" x14ac:dyDescent="0.35">
      <c r="A37" s="9">
        <v>4</v>
      </c>
      <c r="B37" s="50" t="s">
        <v>89</v>
      </c>
      <c r="C37" s="55">
        <v>43993</v>
      </c>
      <c r="D37" s="11" t="str">
        <f ca="1">DATEDIF(C37,TODAY(),"y") &amp; " años "  &amp; DATEDIF(C37,TODAY(),"ym") &amp; " meses "</f>
        <v xml:space="preserve">6 años 3 meses </v>
      </c>
      <c r="E37" s="36">
        <v>21.7</v>
      </c>
      <c r="F37" s="36">
        <v>114.4</v>
      </c>
      <c r="G37" s="20">
        <f>E37/(F37/100)^2</f>
        <v>16.580884150814217</v>
      </c>
      <c r="H37" s="9" t="s">
        <v>16</v>
      </c>
      <c r="I37" s="9" t="s">
        <v>16</v>
      </c>
      <c r="J37" s="9" t="s">
        <v>30</v>
      </c>
      <c r="K37" s="9" t="s">
        <v>16</v>
      </c>
      <c r="L37" s="9" t="s">
        <v>30</v>
      </c>
      <c r="M37" s="9" t="s">
        <v>16</v>
      </c>
      <c r="N37" s="9" t="s">
        <v>30</v>
      </c>
      <c r="O37" s="9" t="s">
        <v>16</v>
      </c>
    </row>
    <row r="38" spans="1:15" ht="13.5" customHeight="1" x14ac:dyDescent="0.35">
      <c r="A38" s="6">
        <v>5</v>
      </c>
      <c r="B38" s="50" t="s">
        <v>90</v>
      </c>
      <c r="C38" s="55">
        <f>DATE(2020,3,4)</f>
        <v>43894</v>
      </c>
      <c r="D38" s="11" t="str">
        <f ca="1">DATEDIF(C38,TODAY(),"y") &amp; " años "  &amp; DATEDIF(C38,TODAY(),"ym") &amp; " meses "</f>
        <v xml:space="preserve">6 años 7 meses </v>
      </c>
      <c r="E38" s="36">
        <v>22.75</v>
      </c>
      <c r="F38" s="36">
        <v>108.6</v>
      </c>
      <c r="G38" s="20">
        <f>E38/(F38/100)^2</f>
        <v>19.289534643156333</v>
      </c>
      <c r="H38" s="9" t="s">
        <v>16</v>
      </c>
      <c r="I38" s="9" t="s">
        <v>16</v>
      </c>
      <c r="J38" s="9" t="s">
        <v>30</v>
      </c>
      <c r="K38" s="110" t="s">
        <v>24</v>
      </c>
      <c r="L38" s="9" t="s">
        <v>30</v>
      </c>
      <c r="M38" s="9" t="s">
        <v>16</v>
      </c>
      <c r="N38" s="9" t="s">
        <v>30</v>
      </c>
      <c r="O38" s="110" t="s">
        <v>24</v>
      </c>
    </row>
    <row r="40" spans="1:15" x14ac:dyDescent="0.35">
      <c r="E40" s="51"/>
      <c r="F40" s="51"/>
      <c r="G40" s="51"/>
    </row>
    <row r="41" spans="1:15" x14ac:dyDescent="0.35">
      <c r="E41" s="51"/>
      <c r="F41" s="101"/>
      <c r="G41" s="101"/>
      <c r="H41" s="101"/>
      <c r="I41" s="101"/>
      <c r="J41" s="101"/>
      <c r="K41" s="101"/>
      <c r="L41" s="101"/>
    </row>
    <row r="42" spans="1:15" x14ac:dyDescent="0.35">
      <c r="E42" s="51"/>
    </row>
  </sheetData>
  <mergeCells count="9">
    <mergeCell ref="A34:O34"/>
    <mergeCell ref="A18:O18"/>
    <mergeCell ref="A4:O4"/>
    <mergeCell ref="A26:O26"/>
    <mergeCell ref="A1:M1"/>
    <mergeCell ref="A11:O11"/>
    <mergeCell ref="H2:K2"/>
    <mergeCell ref="L2:O2"/>
    <mergeCell ref="A2:G2"/>
  </mergeCells>
  <pageMargins left="0" right="0" top="0.74803149606299213" bottom="0.74803149606299213" header="0.31496062992125978" footer="0.31496062992125978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M25"/>
  <sheetViews>
    <sheetView zoomScale="136" zoomScaleNormal="136" workbookViewId="0">
      <pane ySplit="1" topLeftCell="A2" activePane="bottomLeft" state="frozen"/>
      <selection pane="bottomLeft" activeCell="C3" sqref="C1:C1048576"/>
    </sheetView>
  </sheetViews>
  <sheetFormatPr baseColWidth="10" defaultRowHeight="14.5" x14ac:dyDescent="0.35"/>
  <cols>
    <col min="1" max="1" width="3.81640625" customWidth="1"/>
    <col min="2" max="2" width="25.54296875" style="51" customWidth="1"/>
    <col min="3" max="3" width="8.1796875" style="51" customWidth="1"/>
    <col min="4" max="4" width="9.453125" style="51" customWidth="1"/>
    <col min="5" max="7" width="6.453125" style="51" customWidth="1"/>
    <col min="8" max="12" width="8.54296875" style="57" customWidth="1"/>
  </cols>
  <sheetData>
    <row r="1" spans="1:12" ht="15.75" customHeight="1" thickBot="1" x14ac:dyDescent="0.4">
      <c r="B1" s="163" t="s">
        <v>91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</row>
    <row r="2" spans="1:12" x14ac:dyDescent="0.35">
      <c r="A2" s="167" t="s">
        <v>1</v>
      </c>
      <c r="B2" s="168"/>
      <c r="C2" s="168"/>
      <c r="D2" s="168"/>
      <c r="E2" s="168"/>
      <c r="F2" s="168"/>
      <c r="G2" s="166"/>
      <c r="H2" s="165" t="s">
        <v>92</v>
      </c>
      <c r="I2" s="168"/>
      <c r="J2" s="166"/>
      <c r="K2" s="165" t="s">
        <v>93</v>
      </c>
      <c r="L2" s="166"/>
    </row>
    <row r="3" spans="1:12" ht="24.75" customHeight="1" x14ac:dyDescent="0.35">
      <c r="A3" s="32" t="s">
        <v>4</v>
      </c>
      <c r="B3" s="33" t="s">
        <v>5</v>
      </c>
      <c r="C3" s="52" t="s">
        <v>6</v>
      </c>
      <c r="D3" s="33" t="s">
        <v>7</v>
      </c>
      <c r="E3" s="33" t="s">
        <v>8</v>
      </c>
      <c r="F3" s="33" t="s">
        <v>9</v>
      </c>
      <c r="G3" s="33" t="s">
        <v>10</v>
      </c>
      <c r="H3" s="40" t="s">
        <v>11</v>
      </c>
      <c r="I3" s="40" t="s">
        <v>12</v>
      </c>
      <c r="J3" s="40" t="s">
        <v>13</v>
      </c>
      <c r="K3" s="40" t="s">
        <v>12</v>
      </c>
      <c r="L3" s="40" t="s">
        <v>13</v>
      </c>
    </row>
    <row r="4" spans="1:12" x14ac:dyDescent="0.35">
      <c r="A4" s="162" t="s">
        <v>94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1"/>
    </row>
    <row r="5" spans="1:12" s="5" customFormat="1" ht="15" customHeight="1" x14ac:dyDescent="0.35">
      <c r="A5" s="4">
        <v>1</v>
      </c>
      <c r="B5" s="48" t="s">
        <v>95</v>
      </c>
      <c r="C5" s="53">
        <v>43400</v>
      </c>
      <c r="D5" s="9" t="str">
        <f ca="1">DATEDIF(C5,TODAY(),"y") &amp; " años "  &amp; DATEDIF(C5,TODAY(),"ym") &amp; " meses "</f>
        <v xml:space="preserve">7 años 11 meses </v>
      </c>
      <c r="E5" s="20">
        <v>24.85</v>
      </c>
      <c r="F5" s="9">
        <v>117</v>
      </c>
      <c r="G5" s="20">
        <f>E5/(F5/100)^2</f>
        <v>18.153261743005338</v>
      </c>
      <c r="H5" s="38" t="s">
        <v>16</v>
      </c>
      <c r="I5" s="111" t="s">
        <v>21</v>
      </c>
      <c r="J5" s="104" t="s">
        <v>17</v>
      </c>
      <c r="K5" s="9" t="s">
        <v>16</v>
      </c>
      <c r="L5" s="99" t="s">
        <v>20</v>
      </c>
    </row>
    <row r="6" spans="1:12" s="5" customFormat="1" ht="15.75" customHeight="1" x14ac:dyDescent="0.35">
      <c r="A6" s="4">
        <v>2</v>
      </c>
      <c r="B6" s="49" t="s">
        <v>96</v>
      </c>
      <c r="C6" s="54">
        <v>43502</v>
      </c>
      <c r="D6" s="9" t="str">
        <f ca="1">DATEDIF(C6,TODAY(),"y") &amp; " años "  &amp; DATEDIF(C6,TODAY(),"ym") &amp; " meses "</f>
        <v xml:space="preserve">7 años 8 meses </v>
      </c>
      <c r="E6" s="20">
        <v>21.9</v>
      </c>
      <c r="F6" s="9">
        <v>118.5</v>
      </c>
      <c r="G6" s="20">
        <f>E6/(F6/100)^2</f>
        <v>15.595791272766116</v>
      </c>
      <c r="H6" s="38" t="s">
        <v>16</v>
      </c>
      <c r="I6" s="120" t="s">
        <v>23</v>
      </c>
      <c r="J6" s="38" t="s">
        <v>16</v>
      </c>
      <c r="K6" s="9" t="s">
        <v>16</v>
      </c>
      <c r="L6" s="95" t="s">
        <v>16</v>
      </c>
    </row>
    <row r="7" spans="1:12" ht="16.5" customHeight="1" x14ac:dyDescent="0.35">
      <c r="A7" s="21">
        <v>3</v>
      </c>
      <c r="B7" s="49" t="s">
        <v>97</v>
      </c>
      <c r="C7" s="54">
        <v>43502</v>
      </c>
      <c r="D7" s="9" t="str">
        <f ca="1">DATEDIF(C7,TODAY(),"y") &amp; " años "  &amp; DATEDIF(C7,TODAY(),"ym") &amp; " meses "</f>
        <v xml:space="preserve">7 años 8 meses </v>
      </c>
      <c r="E7" s="20">
        <v>22.5</v>
      </c>
      <c r="F7" s="12">
        <v>125.3</v>
      </c>
      <c r="G7" s="20">
        <f>E7/(F7/100)^2</f>
        <v>14.331128038119529</v>
      </c>
      <c r="H7" s="38" t="s">
        <v>16</v>
      </c>
      <c r="I7" s="38" t="s">
        <v>16</v>
      </c>
      <c r="J7" s="99" t="s">
        <v>20</v>
      </c>
      <c r="K7" s="7" t="s">
        <v>16</v>
      </c>
      <c r="L7" s="7" t="s">
        <v>16</v>
      </c>
    </row>
    <row r="8" spans="1:12" s="5" customFormat="1" ht="16.5" customHeight="1" x14ac:dyDescent="0.35">
      <c r="A8" s="22">
        <v>4</v>
      </c>
      <c r="B8" s="48" t="s">
        <v>98</v>
      </c>
      <c r="C8" s="54">
        <v>43424</v>
      </c>
      <c r="D8" s="9" t="str">
        <f ca="1">DATEDIF(C8,TODAY(),"y") &amp; " años "  &amp; DATEDIF(C8,TODAY(),"ym") &amp; " meses "</f>
        <v xml:space="preserve">7 años 10 meses </v>
      </c>
      <c r="E8" s="20">
        <v>21.1</v>
      </c>
      <c r="F8" s="12">
        <v>112.3</v>
      </c>
      <c r="G8" s="20">
        <f>E8/(F8/100)^2</f>
        <v>16.731040202865845</v>
      </c>
      <c r="H8" s="138" t="s">
        <v>27</v>
      </c>
      <c r="I8" s="113" t="s">
        <v>31</v>
      </c>
      <c r="J8" s="99" t="s">
        <v>20</v>
      </c>
      <c r="K8" s="117" t="s">
        <v>23</v>
      </c>
      <c r="L8" s="12" t="s">
        <v>16</v>
      </c>
    </row>
    <row r="9" spans="1:12" x14ac:dyDescent="0.35">
      <c r="A9" s="161" t="s">
        <v>99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1"/>
    </row>
    <row r="10" spans="1:12" s="5" customFormat="1" ht="16.5" customHeight="1" x14ac:dyDescent="0.35">
      <c r="A10" s="22">
        <v>1</v>
      </c>
      <c r="B10" s="50" t="s">
        <v>100</v>
      </c>
      <c r="C10" s="55">
        <v>41949</v>
      </c>
      <c r="D10" s="12" t="str">
        <f ca="1">DATEDIF(C10,TODAY(),"y") &amp; " años "  &amp; DATEDIF(C10,TODAY(),"ym") &amp; " meses "</f>
        <v xml:space="preserve">11 años 11 meses </v>
      </c>
      <c r="E10" s="12">
        <v>37.450000000000003</v>
      </c>
      <c r="F10" s="12">
        <v>143.19999999999999</v>
      </c>
      <c r="G10" s="20">
        <f>E10/(F10/100)^2</f>
        <v>18.26273368496614</v>
      </c>
      <c r="H10" s="39" t="s">
        <v>30</v>
      </c>
      <c r="I10" s="117" t="s">
        <v>23</v>
      </c>
      <c r="J10" s="12" t="s">
        <v>16</v>
      </c>
      <c r="K10" s="7" t="s">
        <v>16</v>
      </c>
      <c r="L10" s="7" t="s">
        <v>16</v>
      </c>
    </row>
    <row r="11" spans="1:12" ht="16.5" customHeight="1" x14ac:dyDescent="0.35">
      <c r="A11" s="22">
        <v>2</v>
      </c>
      <c r="B11" s="50" t="s">
        <v>101</v>
      </c>
      <c r="C11" s="55">
        <v>41949</v>
      </c>
      <c r="D11" s="12" t="str">
        <f ca="1">DATEDIF(C11,TODAY(),"y") &amp; " años "  &amp; DATEDIF(C11,TODAY(),"ym") &amp; " meses "</f>
        <v xml:space="preserve">11 años 11 meses </v>
      </c>
      <c r="E11" s="12">
        <v>34.65</v>
      </c>
      <c r="F11" s="12">
        <v>136</v>
      </c>
      <c r="G11" s="20">
        <f>E11/(F11/100)^2</f>
        <v>18.733780276816606</v>
      </c>
      <c r="H11" s="39" t="s">
        <v>30</v>
      </c>
      <c r="I11" s="113" t="s">
        <v>31</v>
      </c>
      <c r="J11" s="12" t="s">
        <v>16</v>
      </c>
      <c r="K11" s="7" t="s">
        <v>16</v>
      </c>
      <c r="L11" s="12" t="s">
        <v>16</v>
      </c>
    </row>
    <row r="12" spans="1:12" ht="16.5" customHeight="1" x14ac:dyDescent="0.35">
      <c r="A12" s="22">
        <v>3</v>
      </c>
      <c r="B12" s="49" t="s">
        <v>102</v>
      </c>
      <c r="C12" s="54">
        <v>43284</v>
      </c>
      <c r="D12" s="12" t="str">
        <f ca="1">DATEDIF(C12,TODAY(),"y") &amp; " años "  &amp; DATEDIF(C12,TODAY(),"ym") &amp; " meses "</f>
        <v xml:space="preserve">8 años 3 meses </v>
      </c>
      <c r="E12" s="12">
        <v>30.65</v>
      </c>
      <c r="F12" s="12">
        <v>122</v>
      </c>
      <c r="G12" s="20">
        <f>E12/(F12/100)^2</f>
        <v>20.592582639075516</v>
      </c>
      <c r="H12" s="116" t="s">
        <v>17</v>
      </c>
      <c r="I12" s="117" t="s">
        <v>23</v>
      </c>
      <c r="J12" s="113" t="s">
        <v>24</v>
      </c>
      <c r="K12" s="7" t="s">
        <v>16</v>
      </c>
      <c r="L12" s="104" t="s">
        <v>17</v>
      </c>
    </row>
    <row r="13" spans="1:12" x14ac:dyDescent="0.35">
      <c r="A13" s="162" t="s">
        <v>103</v>
      </c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1"/>
    </row>
    <row r="14" spans="1:12" ht="16.5" customHeight="1" x14ac:dyDescent="0.35">
      <c r="A14" s="21">
        <v>1</v>
      </c>
      <c r="B14" s="50" t="s">
        <v>104</v>
      </c>
      <c r="C14" s="55">
        <v>41741</v>
      </c>
      <c r="D14" s="12" t="str">
        <f ca="1">DATEDIF(C14,TODAY(),"y") &amp; " años "  &amp; DATEDIF(C14,TODAY(),"ym") &amp; " meses "</f>
        <v xml:space="preserve">12 años 5 meses </v>
      </c>
      <c r="E14" s="12">
        <v>48.6</v>
      </c>
      <c r="F14" s="12">
        <v>156.5</v>
      </c>
      <c r="G14" s="20">
        <f>E14/(F14/100)^2</f>
        <v>19.843011564882772</v>
      </c>
      <c r="H14" s="39" t="s">
        <v>30</v>
      </c>
      <c r="I14" s="7" t="s">
        <v>16</v>
      </c>
      <c r="J14" s="98" t="s">
        <v>20</v>
      </c>
      <c r="K14" s="12" t="s">
        <v>16</v>
      </c>
      <c r="L14" s="12" t="s">
        <v>16</v>
      </c>
    </row>
    <row r="15" spans="1:12" x14ac:dyDescent="0.35">
      <c r="A15" s="21">
        <v>2</v>
      </c>
      <c r="B15" s="50" t="s">
        <v>105</v>
      </c>
      <c r="C15" s="55">
        <v>41741</v>
      </c>
      <c r="D15" s="12" t="str">
        <f ca="1">DATEDIF(C15,TODAY(),"y") &amp; " años "  &amp; DATEDIF(C15,TODAY(),"ym") &amp; " meses "</f>
        <v xml:space="preserve">12 años 5 meses </v>
      </c>
      <c r="E15" s="12">
        <v>42.15</v>
      </c>
      <c r="F15" s="12">
        <v>148.80000000000001</v>
      </c>
      <c r="G15" s="20">
        <f>E15/(F15/100)^2</f>
        <v>19.036702219909809</v>
      </c>
      <c r="H15" s="39" t="s">
        <v>30</v>
      </c>
      <c r="I15" s="7" t="s">
        <v>16</v>
      </c>
      <c r="J15" s="12" t="s">
        <v>16</v>
      </c>
      <c r="K15" s="12" t="s">
        <v>16</v>
      </c>
      <c r="L15" s="12" t="s">
        <v>16</v>
      </c>
    </row>
    <row r="16" spans="1:12" x14ac:dyDescent="0.35">
      <c r="A16" s="21">
        <v>3</v>
      </c>
      <c r="B16" s="50" t="s">
        <v>106</v>
      </c>
      <c r="C16" s="55">
        <v>35746</v>
      </c>
      <c r="D16" s="12" t="str">
        <f ca="1">DATEDIF(C16,TODAY(),"y") &amp; " años "  &amp; DATEDIF(C16,TODAY(),"ym") &amp; " meses "</f>
        <v xml:space="preserve">28 años 10 meses </v>
      </c>
      <c r="E16" s="12">
        <v>87.9</v>
      </c>
      <c r="F16" s="12">
        <v>149.4</v>
      </c>
      <c r="G16" s="20">
        <f>E16/(F16/100)^2</f>
        <v>39.381085251313152</v>
      </c>
      <c r="H16" s="12" t="s">
        <v>30</v>
      </c>
      <c r="I16" s="12" t="s">
        <v>30</v>
      </c>
      <c r="J16" s="12" t="s">
        <v>30</v>
      </c>
      <c r="K16" s="12" t="s">
        <v>30</v>
      </c>
      <c r="L16" s="106" t="s">
        <v>107</v>
      </c>
    </row>
    <row r="17" spans="1:13" ht="16.5" customHeight="1" x14ac:dyDescent="0.35">
      <c r="A17" s="21">
        <v>5</v>
      </c>
      <c r="B17" s="50" t="s">
        <v>108</v>
      </c>
      <c r="C17" s="55">
        <v>40878</v>
      </c>
      <c r="D17" s="12" t="str">
        <f ca="1">DATEDIF(C17,TODAY(),"y") &amp; " años "  &amp; DATEDIF(C17,TODAY(),"ym") &amp; " meses "</f>
        <v xml:space="preserve">14 años 10 meses </v>
      </c>
      <c r="E17" s="12">
        <v>46</v>
      </c>
      <c r="F17" s="12">
        <v>146.5</v>
      </c>
      <c r="G17" s="20">
        <f>E17/(F17/100)^2</f>
        <v>21.432981164602964</v>
      </c>
      <c r="H17" s="39" t="s">
        <v>30</v>
      </c>
      <c r="I17" s="113" t="s">
        <v>31</v>
      </c>
      <c r="J17" s="12" t="s">
        <v>16</v>
      </c>
      <c r="K17" s="117" t="s">
        <v>23</v>
      </c>
      <c r="L17" s="96" t="s">
        <v>16</v>
      </c>
    </row>
    <row r="18" spans="1:13" x14ac:dyDescent="0.35">
      <c r="A18" s="161" t="s">
        <v>109</v>
      </c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1"/>
    </row>
    <row r="19" spans="1:13" x14ac:dyDescent="0.35">
      <c r="A19" s="21">
        <v>1</v>
      </c>
      <c r="B19" s="50" t="s">
        <v>110</v>
      </c>
      <c r="C19" s="55">
        <v>39698</v>
      </c>
      <c r="D19" s="12" t="str">
        <f ca="1">DATEDIF(C19,TODAY(),"y") &amp; " años "  &amp; DATEDIF(C19,TODAY(),"ym") &amp; " meses "</f>
        <v xml:space="preserve">18 años 1 meses </v>
      </c>
      <c r="E19" s="12">
        <v>53.05</v>
      </c>
      <c r="F19" s="12">
        <v>151.4</v>
      </c>
      <c r="G19" s="20">
        <f t="shared" ref="G19:G24" si="0">E19/(F19/100)^2</f>
        <v>23.143745124762454</v>
      </c>
      <c r="H19" s="39" t="s">
        <v>30</v>
      </c>
      <c r="I19" s="107" t="s">
        <v>21</v>
      </c>
      <c r="J19" s="12" t="s">
        <v>16</v>
      </c>
      <c r="K19" s="7" t="s">
        <v>16</v>
      </c>
      <c r="L19" s="12" t="s">
        <v>16</v>
      </c>
    </row>
    <row r="20" spans="1:13" ht="16.5" customHeight="1" x14ac:dyDescent="0.35">
      <c r="A20" s="22">
        <v>2</v>
      </c>
      <c r="B20" s="50" t="s">
        <v>111</v>
      </c>
      <c r="C20" s="55">
        <v>40374</v>
      </c>
      <c r="D20" s="12" t="str">
        <f ca="1">DATEDIF(C20,TODAY(),"y") &amp; " años " &amp; DATEDIF(C20,TODAY(),"ym") &amp; " meses "</f>
        <v xml:space="preserve">16 años 2 meses </v>
      </c>
      <c r="E20" s="12">
        <v>48.2</v>
      </c>
      <c r="F20" s="12">
        <v>148.6</v>
      </c>
      <c r="G20" s="20">
        <f t="shared" si="0"/>
        <v>21.827772534684421</v>
      </c>
      <c r="H20" s="39" t="s">
        <v>30</v>
      </c>
      <c r="I20" s="113" t="s">
        <v>31</v>
      </c>
      <c r="J20" s="12" t="s">
        <v>16</v>
      </c>
      <c r="K20" s="107" t="s">
        <v>21</v>
      </c>
      <c r="L20" s="12" t="s">
        <v>16</v>
      </c>
    </row>
    <row r="21" spans="1:13" ht="16.5" customHeight="1" x14ac:dyDescent="0.35">
      <c r="A21" s="22">
        <v>3</v>
      </c>
      <c r="B21" s="50" t="s">
        <v>112</v>
      </c>
      <c r="C21" s="55">
        <v>40092</v>
      </c>
      <c r="D21" s="12" t="str">
        <f ca="1">DATEDIF(C21,TODAY(),"y") &amp; " años " &amp; DATEDIF(C21,TODAY(),"ym") &amp; " meses "</f>
        <v xml:space="preserve">17 años 0 meses </v>
      </c>
      <c r="E21" s="12">
        <v>51.25</v>
      </c>
      <c r="F21" s="12">
        <v>145.80000000000001</v>
      </c>
      <c r="G21" s="20">
        <f t="shared" si="0"/>
        <v>24.108979171723664</v>
      </c>
      <c r="H21" s="39" t="s">
        <v>30</v>
      </c>
      <c r="I21" s="113" t="s">
        <v>31</v>
      </c>
      <c r="J21" s="98" t="s">
        <v>20</v>
      </c>
      <c r="K21" s="108" t="s">
        <v>21</v>
      </c>
      <c r="L21" s="12" t="s">
        <v>16</v>
      </c>
    </row>
    <row r="22" spans="1:13" ht="16.5" customHeight="1" x14ac:dyDescent="0.35">
      <c r="A22" s="22">
        <v>4</v>
      </c>
      <c r="B22" s="50" t="s">
        <v>113</v>
      </c>
      <c r="C22" s="55">
        <v>39880</v>
      </c>
      <c r="D22" s="12" t="str">
        <f ca="1">DATEDIF(C22,TODAY(),"y") &amp; " años " &amp; DATEDIF(C22,TODAY(),"ym") &amp; " meses "</f>
        <v xml:space="preserve">17 años 6 meses </v>
      </c>
      <c r="E22" s="12">
        <v>45.28</v>
      </c>
      <c r="F22" s="12">
        <v>156.1</v>
      </c>
      <c r="G22" s="20">
        <f t="shared" si="0"/>
        <v>18.582348984557527</v>
      </c>
      <c r="H22" s="39" t="s">
        <v>30</v>
      </c>
      <c r="I22" s="107" t="s">
        <v>21</v>
      </c>
      <c r="J22" s="117" t="s">
        <v>27</v>
      </c>
      <c r="K22" s="12" t="s">
        <v>16</v>
      </c>
      <c r="L22" s="12" t="s">
        <v>16</v>
      </c>
    </row>
    <row r="23" spans="1:13" x14ac:dyDescent="0.35">
      <c r="A23" s="21">
        <v>5</v>
      </c>
      <c r="B23" s="50" t="s">
        <v>114</v>
      </c>
      <c r="C23" s="56" t="s">
        <v>115</v>
      </c>
      <c r="D23" s="12" t="str">
        <f ca="1">DATEDIF(C23,TODAY(),"y") &amp; " años " &amp; DATEDIF(C23,TODAY(),"ym") &amp; " meses "</f>
        <v xml:space="preserve">13 años 10 meses </v>
      </c>
      <c r="E23" s="12">
        <v>80.900000000000006</v>
      </c>
      <c r="F23" s="12">
        <v>151.30000000000001</v>
      </c>
      <c r="G23" s="20">
        <f t="shared" si="0"/>
        <v>35.340335291977134</v>
      </c>
      <c r="H23" s="39" t="s">
        <v>30</v>
      </c>
      <c r="I23" s="107" t="s">
        <v>21</v>
      </c>
      <c r="J23" s="118" t="s">
        <v>24</v>
      </c>
      <c r="K23" s="12" t="s">
        <v>16</v>
      </c>
      <c r="L23" s="106" t="s">
        <v>24</v>
      </c>
    </row>
    <row r="24" spans="1:13" ht="16.5" customHeight="1" x14ac:dyDescent="0.35">
      <c r="A24" s="11">
        <v>6</v>
      </c>
      <c r="B24" s="50" t="s">
        <v>116</v>
      </c>
      <c r="C24" s="119">
        <v>39785</v>
      </c>
      <c r="D24" s="12" t="str">
        <f ca="1">DATEDIF(C24,TODAY(),"y") &amp; " años " &amp; DATEDIF(C24,TODAY(),"ym") &amp; " meses "</f>
        <v xml:space="preserve">17 años 10 meses </v>
      </c>
      <c r="E24" s="95">
        <v>63.25</v>
      </c>
      <c r="F24" s="95">
        <v>154</v>
      </c>
      <c r="G24" s="102">
        <f t="shared" si="0"/>
        <v>26.669758812615957</v>
      </c>
      <c r="H24" s="39" t="s">
        <v>30</v>
      </c>
      <c r="I24" s="107" t="s">
        <v>21</v>
      </c>
      <c r="J24" s="105" t="s">
        <v>17</v>
      </c>
      <c r="K24" s="103" t="s">
        <v>16</v>
      </c>
      <c r="L24" s="99" t="s">
        <v>20</v>
      </c>
    </row>
    <row r="25" spans="1:13" x14ac:dyDescent="0.35">
      <c r="H25" s="51"/>
      <c r="I25" s="51"/>
      <c r="J25" s="51"/>
      <c r="K25" s="51"/>
      <c r="L25" s="51"/>
      <c r="M25" s="51"/>
    </row>
  </sheetData>
  <mergeCells count="8">
    <mergeCell ref="A18:L18"/>
    <mergeCell ref="A4:L4"/>
    <mergeCell ref="B1:L1"/>
    <mergeCell ref="K2:L2"/>
    <mergeCell ref="A13:L13"/>
    <mergeCell ref="A2:G2"/>
    <mergeCell ref="A9:L9"/>
    <mergeCell ref="H2:J2"/>
  </mergeCells>
  <pageMargins left="0" right="0" top="0.74803149606299213" bottom="0.74803149606299213" header="0.31496062992125978" footer="0.31496062992125978"/>
  <pageSetup paperSize="9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L30"/>
  <sheetViews>
    <sheetView zoomScale="130" zoomScaleNormal="130" workbookViewId="0">
      <selection activeCell="M9" sqref="M9"/>
    </sheetView>
  </sheetViews>
  <sheetFormatPr baseColWidth="10" defaultRowHeight="14.5" x14ac:dyDescent="0.35"/>
  <cols>
    <col min="1" max="1" width="2.81640625" customWidth="1"/>
    <col min="2" max="2" width="26.1796875" style="51" customWidth="1"/>
    <col min="3" max="3" width="10.26953125" style="51" customWidth="1"/>
    <col min="4" max="4" width="9.81640625" style="51" customWidth="1"/>
    <col min="5" max="7" width="8.26953125" style="51" customWidth="1"/>
    <col min="8" max="12" width="9.26953125" style="51" customWidth="1"/>
  </cols>
  <sheetData>
    <row r="1" spans="1:12" s="31" customFormat="1" x14ac:dyDescent="0.35">
      <c r="A1" s="171" t="s">
        <v>117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0"/>
    </row>
    <row r="2" spans="1:12" s="31" customFormat="1" ht="15" customHeight="1" x14ac:dyDescent="0.35">
      <c r="A2" s="173" t="s">
        <v>1</v>
      </c>
      <c r="B2" s="172"/>
      <c r="C2" s="172"/>
      <c r="D2" s="172"/>
      <c r="E2" s="172"/>
      <c r="F2" s="172"/>
      <c r="G2" s="170"/>
      <c r="H2" s="174" t="s">
        <v>118</v>
      </c>
      <c r="I2" s="172"/>
      <c r="J2" s="170"/>
      <c r="K2" s="169" t="s">
        <v>119</v>
      </c>
      <c r="L2" s="170"/>
    </row>
    <row r="3" spans="1:12" s="31" customFormat="1" ht="16.5" customHeight="1" x14ac:dyDescent="0.35">
      <c r="A3" s="34" t="s">
        <v>4</v>
      </c>
      <c r="B3" s="58" t="s">
        <v>5</v>
      </c>
      <c r="C3" s="58" t="s">
        <v>6</v>
      </c>
      <c r="D3" s="58" t="s">
        <v>7</v>
      </c>
      <c r="E3" s="58" t="s">
        <v>8</v>
      </c>
      <c r="F3" s="58" t="s">
        <v>9</v>
      </c>
      <c r="G3" s="62" t="s">
        <v>10</v>
      </c>
      <c r="H3" s="63" t="s">
        <v>11</v>
      </c>
      <c r="I3" s="63" t="s">
        <v>12</v>
      </c>
      <c r="J3" s="63" t="s">
        <v>13</v>
      </c>
      <c r="K3" s="64" t="s">
        <v>12</v>
      </c>
      <c r="L3" s="64" t="s">
        <v>13</v>
      </c>
    </row>
    <row r="4" spans="1:12" x14ac:dyDescent="0.35">
      <c r="A4" s="162" t="s">
        <v>120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1"/>
    </row>
    <row r="5" spans="1:12" ht="16.5" customHeight="1" x14ac:dyDescent="0.35">
      <c r="A5" s="26">
        <v>1</v>
      </c>
      <c r="B5" s="67" t="s">
        <v>121</v>
      </c>
      <c r="C5" s="59">
        <v>43400</v>
      </c>
      <c r="D5" s="27" t="str">
        <f ca="1">DATEDIF(C5,TODAY(),"y") &amp; " años "  &amp; DATEDIF(C5,TODAY(),"ym") &amp; " meses "</f>
        <v xml:space="preserve">7 años 11 meses </v>
      </c>
      <c r="E5" s="27">
        <v>22.65</v>
      </c>
      <c r="F5" s="27">
        <v>121.5</v>
      </c>
      <c r="G5" s="65">
        <f>E5/(F5/100)^2</f>
        <v>15.343189554437837</v>
      </c>
      <c r="H5" s="122" t="s">
        <v>27</v>
      </c>
      <c r="I5" s="121" t="s">
        <v>23</v>
      </c>
      <c r="J5" s="27" t="s">
        <v>16</v>
      </c>
      <c r="K5" s="27" t="s">
        <v>16</v>
      </c>
      <c r="L5" s="27" t="s">
        <v>16</v>
      </c>
    </row>
    <row r="6" spans="1:12" ht="16.5" customHeight="1" x14ac:dyDescent="0.35">
      <c r="A6" s="4">
        <v>3</v>
      </c>
      <c r="B6" s="49" t="s">
        <v>122</v>
      </c>
      <c r="C6" s="54">
        <v>43223</v>
      </c>
      <c r="D6" s="27" t="str">
        <f ca="1">DATEDIF(C6,TODAY(),"y") &amp; " años "  &amp; DATEDIF(C6,TODAY(),"ym") &amp; " meses "</f>
        <v xml:space="preserve">8 años 5 meses </v>
      </c>
      <c r="E6" s="9">
        <v>21.3</v>
      </c>
      <c r="F6" s="9">
        <v>114.7</v>
      </c>
      <c r="G6" s="65">
        <f>E6/(F6/100)^2</f>
        <v>16.190220650664447</v>
      </c>
      <c r="H6" s="9" t="s">
        <v>32</v>
      </c>
      <c r="I6" s="110" t="s">
        <v>31</v>
      </c>
      <c r="J6" s="9" t="s">
        <v>16</v>
      </c>
      <c r="K6" s="120" t="s">
        <v>23</v>
      </c>
      <c r="L6" s="9" t="s">
        <v>16</v>
      </c>
    </row>
    <row r="7" spans="1:12" x14ac:dyDescent="0.35">
      <c r="A7" s="175" t="s">
        <v>123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7"/>
    </row>
    <row r="8" spans="1:12" ht="16.5" customHeight="1" x14ac:dyDescent="0.35">
      <c r="A8" s="7">
        <v>1</v>
      </c>
      <c r="B8" s="49" t="s">
        <v>124</v>
      </c>
      <c r="C8" s="54">
        <v>43336</v>
      </c>
      <c r="D8" s="7" t="str">
        <f ca="1">DATEDIF(C8,TODAY(),"y") &amp; " años "  &amp; DATEDIF(C8,TODAY(),"ym") &amp; " meses "</f>
        <v xml:space="preserve">8 años 1 meses </v>
      </c>
      <c r="E8" s="7">
        <v>18.149999999999999</v>
      </c>
      <c r="F8" s="7">
        <v>115.5</v>
      </c>
      <c r="G8" s="66">
        <f>E8/(F8/100)^2</f>
        <v>13.605442176870747</v>
      </c>
      <c r="H8" s="123" t="s">
        <v>32</v>
      </c>
      <c r="I8" s="113" t="s">
        <v>31</v>
      </c>
      <c r="J8" s="123" t="s">
        <v>32</v>
      </c>
      <c r="K8" s="7" t="s">
        <v>16</v>
      </c>
      <c r="L8" s="7" t="s">
        <v>16</v>
      </c>
    </row>
    <row r="9" spans="1:12" ht="16.5" customHeight="1" x14ac:dyDescent="0.35">
      <c r="A9" s="18">
        <v>2</v>
      </c>
      <c r="B9" s="49" t="s">
        <v>125</v>
      </c>
      <c r="C9" s="54">
        <v>43326</v>
      </c>
      <c r="D9" s="7" t="str">
        <f ca="1">DATEDIF(C9,TODAY(),"y") &amp; " años "  &amp; DATEDIF(C9,TODAY(),"ym") &amp; " meses "</f>
        <v xml:space="preserve">8 años 1 meses </v>
      </c>
      <c r="E9" s="7">
        <v>24.9</v>
      </c>
      <c r="F9" s="7">
        <v>122.6</v>
      </c>
      <c r="G9" s="66">
        <f>E9/(F9/100)^2</f>
        <v>16.566028597356354</v>
      </c>
      <c r="H9" s="7" t="s">
        <v>16</v>
      </c>
      <c r="I9" s="117" t="s">
        <v>23</v>
      </c>
      <c r="J9" s="148" t="s">
        <v>16</v>
      </c>
      <c r="K9" s="7" t="s">
        <v>16</v>
      </c>
      <c r="L9" s="148" t="s">
        <v>16</v>
      </c>
    </row>
    <row r="10" spans="1:12" x14ac:dyDescent="0.35">
      <c r="A10" s="18">
        <v>3</v>
      </c>
      <c r="B10" s="49" t="s">
        <v>126</v>
      </c>
      <c r="C10" s="54">
        <v>43193</v>
      </c>
      <c r="D10" s="7" t="str">
        <f ca="1">DATEDIF(C10,TODAY(),"y") &amp; " años "  &amp; DATEDIF(C10,TODAY(),"ym") &amp; " meses "</f>
        <v xml:space="preserve">8 años 6 meses </v>
      </c>
      <c r="E10" s="7">
        <v>31.25</v>
      </c>
      <c r="F10" s="7">
        <v>122</v>
      </c>
      <c r="G10" s="66">
        <f>E10/(F10/100)^2</f>
        <v>20.995700080623489</v>
      </c>
      <c r="H10" s="104" t="s">
        <v>17</v>
      </c>
      <c r="I10" s="107" t="s">
        <v>21</v>
      </c>
      <c r="J10" s="113" t="s">
        <v>24</v>
      </c>
      <c r="K10" s="7" t="s">
        <v>16</v>
      </c>
      <c r="L10" s="104" t="s">
        <v>17</v>
      </c>
    </row>
    <row r="11" spans="1:12" x14ac:dyDescent="0.35">
      <c r="A11" s="181" t="s">
        <v>127</v>
      </c>
      <c r="B11" s="176"/>
      <c r="C11" s="176"/>
      <c r="D11" s="176"/>
      <c r="E11" s="176"/>
      <c r="F11" s="176"/>
      <c r="G11" s="176"/>
      <c r="H11" s="176"/>
      <c r="I11" s="176"/>
      <c r="J11" s="176"/>
      <c r="K11" s="176"/>
      <c r="L11" s="177"/>
    </row>
    <row r="12" spans="1:12" ht="16.5" customHeight="1" x14ac:dyDescent="0.35">
      <c r="A12" s="7">
        <v>1</v>
      </c>
      <c r="B12" s="50" t="s">
        <v>128</v>
      </c>
      <c r="C12" s="55">
        <v>41762</v>
      </c>
      <c r="D12" s="7" t="str">
        <f ca="1">DATEDIF(C12,TODAY(),"y") &amp; " años "  &amp; DATEDIF(C12,TODAY(),"ym") &amp; " meses "</f>
        <v xml:space="preserve">12 años 5 meses </v>
      </c>
      <c r="E12" s="7">
        <v>30.4</v>
      </c>
      <c r="F12" s="7">
        <v>129.5</v>
      </c>
      <c r="G12" s="66">
        <f>E12/(F12/100)^2</f>
        <v>18.127338590659054</v>
      </c>
      <c r="H12" s="124" t="s">
        <v>30</v>
      </c>
      <c r="I12" s="113" t="s">
        <v>31</v>
      </c>
      <c r="J12" s="7" t="s">
        <v>16</v>
      </c>
      <c r="K12" s="117" t="s">
        <v>23</v>
      </c>
      <c r="L12" s="7" t="s">
        <v>16</v>
      </c>
    </row>
    <row r="13" spans="1:12" x14ac:dyDescent="0.35">
      <c r="A13" s="18">
        <v>2</v>
      </c>
      <c r="B13" s="50" t="s">
        <v>129</v>
      </c>
      <c r="C13" s="55">
        <v>42786</v>
      </c>
      <c r="D13" s="7" t="str">
        <f ca="1">DATEDIF(C13,TODAY(),"y") &amp; " años "  &amp; DATEDIF(C13,TODAY(),"ym") &amp; " meses "</f>
        <v xml:space="preserve">9 años 7 meses </v>
      </c>
      <c r="E13" s="7">
        <v>46.8</v>
      </c>
      <c r="F13" s="12">
        <v>138</v>
      </c>
      <c r="G13" s="66">
        <f>E13/(F13/100)^2</f>
        <v>24.57466918714556</v>
      </c>
      <c r="H13" s="124" t="s">
        <v>30</v>
      </c>
      <c r="I13" s="7" t="s">
        <v>16</v>
      </c>
      <c r="J13" s="113" t="s">
        <v>24</v>
      </c>
      <c r="K13" s="7" t="s">
        <v>16</v>
      </c>
      <c r="L13" s="113" t="s">
        <v>24</v>
      </c>
    </row>
    <row r="14" spans="1:12" ht="16.5" customHeight="1" x14ac:dyDescent="0.35">
      <c r="A14" s="18">
        <v>3</v>
      </c>
      <c r="B14" s="50" t="s">
        <v>130</v>
      </c>
      <c r="C14" s="55">
        <v>41671</v>
      </c>
      <c r="D14" s="7" t="str">
        <f ca="1">DATEDIF(C14,TODAY(),"y") &amp; " años "  &amp; DATEDIF(C14,TODAY(),"ym") &amp; " meses "</f>
        <v xml:space="preserve">12 años 8 meses </v>
      </c>
      <c r="E14" s="7">
        <v>33.85</v>
      </c>
      <c r="F14" s="7">
        <v>132</v>
      </c>
      <c r="G14" s="66">
        <f>E14/(F14/100)^2</f>
        <v>19.427226813590448</v>
      </c>
      <c r="H14" s="124" t="s">
        <v>30</v>
      </c>
      <c r="I14" s="113" t="s">
        <v>31</v>
      </c>
      <c r="J14" s="98" t="s">
        <v>20</v>
      </c>
      <c r="K14" s="117" t="s">
        <v>23</v>
      </c>
      <c r="L14" s="7" t="s">
        <v>16</v>
      </c>
    </row>
    <row r="15" spans="1:12" x14ac:dyDescent="0.35">
      <c r="A15" s="162" t="s">
        <v>131</v>
      </c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1"/>
    </row>
    <row r="16" spans="1:12" ht="16.5" customHeight="1" x14ac:dyDescent="0.35">
      <c r="A16" s="18">
        <v>1</v>
      </c>
      <c r="B16" s="50" t="s">
        <v>132</v>
      </c>
      <c r="C16" s="55">
        <v>41125</v>
      </c>
      <c r="D16" s="7" t="str">
        <f ca="1">DATEDIF(C16,TODAY(),"y") &amp; " años "  &amp; DATEDIF(C16,TODAY(),"ym") &amp; " meses "</f>
        <v xml:space="preserve">14 años 2 meses </v>
      </c>
      <c r="E16" s="7">
        <v>41.15</v>
      </c>
      <c r="F16" s="7">
        <v>152.1</v>
      </c>
      <c r="G16" s="66">
        <f>E16/(F16/100)^2</f>
        <v>17.787356582683547</v>
      </c>
      <c r="H16" s="7" t="s">
        <v>30</v>
      </c>
      <c r="I16" s="107" t="s">
        <v>21</v>
      </c>
      <c r="J16" s="136" t="s">
        <v>27</v>
      </c>
      <c r="K16" s="7" t="s">
        <v>16</v>
      </c>
      <c r="L16" s="7" t="s">
        <v>16</v>
      </c>
    </row>
    <row r="17" spans="1:12" x14ac:dyDescent="0.35">
      <c r="A17" s="4">
        <v>2</v>
      </c>
      <c r="B17" s="50" t="s">
        <v>133</v>
      </c>
      <c r="C17" s="55">
        <v>41552</v>
      </c>
      <c r="D17" s="7" t="str">
        <f ca="1">DATEDIF(C17,TODAY(),"y") &amp; " años "  &amp; DATEDIF(C17,TODAY(),"ym") &amp; " meses "</f>
        <v xml:space="preserve">13 años 0 meses </v>
      </c>
      <c r="E17" s="97">
        <v>58.4</v>
      </c>
      <c r="F17" s="112">
        <v>157.9</v>
      </c>
      <c r="G17" s="66">
        <f>E17/(F17/100)^2</f>
        <v>23.423327307709123</v>
      </c>
      <c r="H17" s="7" t="s">
        <v>30</v>
      </c>
      <c r="I17" s="7" t="s">
        <v>16</v>
      </c>
      <c r="J17" s="104" t="s">
        <v>17</v>
      </c>
      <c r="K17" s="7" t="s">
        <v>16</v>
      </c>
      <c r="L17" s="7" t="s">
        <v>16</v>
      </c>
    </row>
    <row r="18" spans="1:12" ht="16.5" customHeight="1" x14ac:dyDescent="0.35">
      <c r="A18" s="18">
        <v>3</v>
      </c>
      <c r="B18" s="50" t="s">
        <v>134</v>
      </c>
      <c r="C18" s="55">
        <v>41271</v>
      </c>
      <c r="D18" s="7" t="str">
        <f ca="1">DATEDIF(C18,TODAY(),"y") &amp; " años "  &amp; DATEDIF(C18,TODAY(),"ym") &amp; " meses "</f>
        <v xml:space="preserve">13 años 9 meses </v>
      </c>
      <c r="E18" s="7">
        <v>33.4</v>
      </c>
      <c r="F18" s="7">
        <v>134.5</v>
      </c>
      <c r="G18" s="66">
        <f>E18/(F18/100)^2</f>
        <v>18.462984204198396</v>
      </c>
      <c r="H18" s="7" t="s">
        <v>30</v>
      </c>
      <c r="I18" s="113" t="s">
        <v>31</v>
      </c>
      <c r="J18" s="7" t="s">
        <v>16</v>
      </c>
      <c r="K18" s="113" t="s">
        <v>31</v>
      </c>
      <c r="L18" s="7" t="s">
        <v>16</v>
      </c>
    </row>
    <row r="19" spans="1:12" x14ac:dyDescent="0.35">
      <c r="A19" s="181" t="s">
        <v>135</v>
      </c>
      <c r="B19" s="176"/>
      <c r="C19" s="176"/>
      <c r="D19" s="176"/>
      <c r="E19" s="176"/>
      <c r="F19" s="176"/>
      <c r="G19" s="176"/>
      <c r="H19" s="176"/>
      <c r="I19" s="176"/>
      <c r="J19" s="176"/>
      <c r="K19" s="176"/>
      <c r="L19" s="177"/>
    </row>
    <row r="20" spans="1:12" ht="16.5" customHeight="1" x14ac:dyDescent="0.35">
      <c r="A20" s="7">
        <v>1</v>
      </c>
      <c r="B20" s="50" t="s">
        <v>136</v>
      </c>
      <c r="C20" s="60">
        <v>40797</v>
      </c>
      <c r="D20" s="7" t="str">
        <f ca="1">DATEDIF(C20,TODAY(),"y") &amp; " años "  &amp; DATEDIF(C20,TODAY(),"ym") &amp; " meses "</f>
        <v xml:space="preserve">15 años 0 meses </v>
      </c>
      <c r="E20" s="7">
        <v>55.8</v>
      </c>
      <c r="F20" s="7">
        <v>162.80000000000001</v>
      </c>
      <c r="G20" s="66">
        <f>E20/(F20/100)^2</f>
        <v>21.053552994584933</v>
      </c>
      <c r="H20" s="7" t="s">
        <v>30</v>
      </c>
      <c r="I20" s="117" t="s">
        <v>23</v>
      </c>
      <c r="J20" s="7" t="s">
        <v>16</v>
      </c>
      <c r="K20" s="7" t="s">
        <v>16</v>
      </c>
      <c r="L20" s="7" t="s">
        <v>16</v>
      </c>
    </row>
    <row r="21" spans="1:12" x14ac:dyDescent="0.35">
      <c r="A21" s="19">
        <v>2</v>
      </c>
      <c r="B21" s="50" t="s">
        <v>137</v>
      </c>
      <c r="C21" s="55">
        <v>40565</v>
      </c>
      <c r="D21" s="7" t="str">
        <f ca="1">DATEDIF(C21,TODAY(),"y") &amp; " años "  &amp; DATEDIF(C21,TODAY(),"ym") &amp; " meses "</f>
        <v xml:space="preserve">15 años 8 meses </v>
      </c>
      <c r="E21" s="7">
        <v>53.3</v>
      </c>
      <c r="F21" s="7">
        <v>159.4</v>
      </c>
      <c r="G21" s="66">
        <f>E21/(F21/100)^2</f>
        <v>20.977347613147796</v>
      </c>
      <c r="H21" s="7" t="s">
        <v>30</v>
      </c>
      <c r="I21" s="107" t="s">
        <v>58</v>
      </c>
      <c r="J21" s="7" t="s">
        <v>18</v>
      </c>
      <c r="K21" s="7" t="s">
        <v>16</v>
      </c>
      <c r="L21" s="7" t="s">
        <v>16</v>
      </c>
    </row>
    <row r="22" spans="1:12" x14ac:dyDescent="0.35">
      <c r="A22" s="18">
        <v>3</v>
      </c>
      <c r="B22" s="50" t="s">
        <v>138</v>
      </c>
      <c r="C22" s="55">
        <v>41065</v>
      </c>
      <c r="D22" s="7" t="str">
        <f ca="1">DATEDIF(C22,TODAY(),"y") &amp; " años "  &amp; DATEDIF(C22,TODAY(),"ym") &amp; " meses "</f>
        <v xml:space="preserve">14 años 4 meses </v>
      </c>
      <c r="E22" s="7">
        <v>78.900000000000006</v>
      </c>
      <c r="F22" s="7">
        <v>160.69999999999999</v>
      </c>
      <c r="G22" s="66">
        <f>E22/(F22/100)^2</f>
        <v>30.552394258318365</v>
      </c>
      <c r="H22" s="7" t="s">
        <v>30</v>
      </c>
      <c r="I22" s="7" t="s">
        <v>16</v>
      </c>
      <c r="J22" s="113" t="s">
        <v>53</v>
      </c>
      <c r="K22" s="7" t="s">
        <v>16</v>
      </c>
      <c r="L22" s="104" t="s">
        <v>17</v>
      </c>
    </row>
    <row r="23" spans="1:12" ht="16.5" customHeight="1" x14ac:dyDescent="0.35">
      <c r="A23" s="18">
        <v>4</v>
      </c>
      <c r="B23" s="50" t="s">
        <v>139</v>
      </c>
      <c r="C23" s="55">
        <v>40099</v>
      </c>
      <c r="D23" s="7" t="str">
        <f ca="1">DATEDIF(C23,TODAY(),"y") &amp; " años "  &amp; DATEDIF(C23,TODAY(),"ym") &amp; " meses "</f>
        <v xml:space="preserve">16 años 11 meses </v>
      </c>
      <c r="E23" s="7">
        <v>51.7</v>
      </c>
      <c r="F23" s="7">
        <v>155.69999999999999</v>
      </c>
      <c r="G23" s="66">
        <f>E23/(F23/100)^2</f>
        <v>21.32619215270379</v>
      </c>
      <c r="H23" s="7" t="s">
        <v>30</v>
      </c>
      <c r="I23" s="113" t="s">
        <v>31</v>
      </c>
      <c r="J23" s="7" t="s">
        <v>18</v>
      </c>
      <c r="K23" s="117" t="s">
        <v>23</v>
      </c>
      <c r="L23" s="7" t="s">
        <v>16</v>
      </c>
    </row>
    <row r="24" spans="1:12" x14ac:dyDescent="0.35">
      <c r="A24" s="19">
        <v>5</v>
      </c>
      <c r="B24" s="50" t="s">
        <v>140</v>
      </c>
      <c r="C24" s="55">
        <v>41093</v>
      </c>
      <c r="D24" s="7" t="str">
        <f ca="1">DATEDIF(C24,TODAY(),"y") &amp; " años "  &amp; DATEDIF(C24,TODAY(),"ym") &amp; " meses "</f>
        <v xml:space="preserve">14 años 3 meses </v>
      </c>
      <c r="E24" s="7">
        <v>75.05</v>
      </c>
      <c r="F24" s="7">
        <v>165.4</v>
      </c>
      <c r="G24" s="66">
        <f>E24/(F24/100)^2</f>
        <v>27.433403174890955</v>
      </c>
      <c r="H24" s="7" t="s">
        <v>30</v>
      </c>
      <c r="I24" s="7" t="s">
        <v>16</v>
      </c>
      <c r="J24" s="113" t="s">
        <v>53</v>
      </c>
      <c r="K24" s="7" t="s">
        <v>16</v>
      </c>
      <c r="L24" s="104" t="s">
        <v>17</v>
      </c>
    </row>
    <row r="25" spans="1:12" x14ac:dyDescent="0.35">
      <c r="A25" s="178" t="s">
        <v>141</v>
      </c>
      <c r="B25" s="179"/>
      <c r="C25" s="179"/>
      <c r="D25" s="179"/>
      <c r="E25" s="179"/>
      <c r="F25" s="179"/>
      <c r="G25" s="179"/>
      <c r="H25" s="179"/>
      <c r="I25" s="179"/>
      <c r="J25" s="179"/>
      <c r="K25" s="179"/>
      <c r="L25" s="180"/>
    </row>
    <row r="26" spans="1:12" x14ac:dyDescent="0.35">
      <c r="A26" s="19">
        <v>1</v>
      </c>
      <c r="B26" s="50" t="s">
        <v>142</v>
      </c>
      <c r="C26" s="55">
        <v>40186</v>
      </c>
      <c r="D26" s="7" t="str">
        <f ca="1">DATEDIF(C26,TODAY(),"y") &amp; " años "  &amp; DATEDIF(C26,TODAY(),"ym") &amp; " meses "</f>
        <v xml:space="preserve">16 años 8 meses </v>
      </c>
      <c r="E26" s="7">
        <v>64.099999999999994</v>
      </c>
      <c r="F26" s="7">
        <v>163.4</v>
      </c>
      <c r="G26" s="66">
        <f>E26/(F26/100)^2</f>
        <v>24.007886272283134</v>
      </c>
      <c r="H26" s="7" t="s">
        <v>30</v>
      </c>
      <c r="I26" s="107" t="s">
        <v>21</v>
      </c>
      <c r="J26" s="104" t="s">
        <v>17</v>
      </c>
      <c r="K26" s="7" t="s">
        <v>16</v>
      </c>
      <c r="L26" s="7" t="s">
        <v>16</v>
      </c>
    </row>
    <row r="27" spans="1:12" ht="16.5" customHeight="1" x14ac:dyDescent="0.35">
      <c r="A27" s="18">
        <v>2</v>
      </c>
      <c r="B27" s="50" t="s">
        <v>143</v>
      </c>
      <c r="C27" s="55">
        <v>40037</v>
      </c>
      <c r="D27" s="7" t="str">
        <f ca="1">DATEDIF(C27,TODAY(),"y") &amp; " años "  &amp; DATEDIF(C27,TODAY(),"ym") &amp; " meses "</f>
        <v xml:space="preserve">17 años 1 meses </v>
      </c>
      <c r="E27" s="7">
        <v>64.2</v>
      </c>
      <c r="F27" s="7">
        <v>169.8</v>
      </c>
      <c r="G27" s="66">
        <f>E27/(F27/100)^2</f>
        <v>22.266894746261446</v>
      </c>
      <c r="H27" s="7" t="s">
        <v>30</v>
      </c>
      <c r="I27" s="117" t="s">
        <v>23</v>
      </c>
      <c r="J27" s="7" t="s">
        <v>16</v>
      </c>
      <c r="K27" s="7" t="s">
        <v>16</v>
      </c>
      <c r="L27" s="7" t="s">
        <v>16</v>
      </c>
    </row>
    <row r="28" spans="1:12" ht="16.5" customHeight="1" x14ac:dyDescent="0.35">
      <c r="A28" s="19">
        <v>3</v>
      </c>
      <c r="B28" s="50" t="s">
        <v>144</v>
      </c>
      <c r="C28" s="55">
        <v>39739</v>
      </c>
      <c r="D28" s="7" t="str">
        <f ca="1">DATEDIF(C28,TODAY(),"y") &amp; " años "  &amp; DATEDIF(C28,TODAY(),"ym") &amp; " meses "</f>
        <v xml:space="preserve">17 años 11 meses </v>
      </c>
      <c r="E28" s="7">
        <v>56.75</v>
      </c>
      <c r="F28" s="7">
        <v>154.9</v>
      </c>
      <c r="G28" s="66">
        <f>E28/(F28/100)^2</f>
        <v>23.651736412546292</v>
      </c>
      <c r="H28" s="7" t="s">
        <v>30</v>
      </c>
      <c r="I28" s="113" t="s">
        <v>31</v>
      </c>
      <c r="J28" s="7" t="s">
        <v>16</v>
      </c>
      <c r="K28" s="107" t="s">
        <v>21</v>
      </c>
      <c r="L28" s="7" t="s">
        <v>16</v>
      </c>
    </row>
    <row r="29" spans="1:12" x14ac:dyDescent="0.35">
      <c r="A29" s="7">
        <v>4</v>
      </c>
      <c r="B29" s="68" t="s">
        <v>145</v>
      </c>
      <c r="C29" s="61">
        <v>40602</v>
      </c>
      <c r="D29" s="7" t="str">
        <f ca="1">DATEDIF(C29,TODAY(),"y") &amp; " años "  &amp; DATEDIF(C29,TODAY(),"ym") &amp; " meses "</f>
        <v xml:space="preserve">15 años 7 meses </v>
      </c>
      <c r="E29" s="7">
        <v>93.8</v>
      </c>
      <c r="F29" s="7">
        <v>170.9</v>
      </c>
      <c r="G29" s="66">
        <f>E29/(F29/100)^2</f>
        <v>32.115797651301186</v>
      </c>
      <c r="H29" s="7" t="s">
        <v>30</v>
      </c>
      <c r="I29" s="7" t="s">
        <v>16</v>
      </c>
      <c r="J29" s="113" t="s">
        <v>24</v>
      </c>
      <c r="K29" s="7" t="s">
        <v>16</v>
      </c>
      <c r="L29" s="113" t="s">
        <v>24</v>
      </c>
    </row>
    <row r="30" spans="1:12" ht="16.5" customHeight="1" x14ac:dyDescent="0.35">
      <c r="A30" s="7">
        <v>5</v>
      </c>
      <c r="B30" s="50" t="s">
        <v>146</v>
      </c>
      <c r="C30" s="60">
        <v>40863</v>
      </c>
      <c r="D30" s="7" t="str">
        <f ca="1">DATEDIF(C30,TODAY(),"y") &amp; " años "  &amp; DATEDIF(C30,TODAY(),"ym") &amp; " meses "</f>
        <v xml:space="preserve">14 años 10 meses </v>
      </c>
      <c r="E30" s="7">
        <v>57</v>
      </c>
      <c r="F30" s="7">
        <v>160.1</v>
      </c>
      <c r="G30" s="66">
        <f>E30/(F30/100)^2</f>
        <v>22.237819039552498</v>
      </c>
      <c r="H30" s="7" t="s">
        <v>30</v>
      </c>
      <c r="I30" s="117" t="s">
        <v>23</v>
      </c>
      <c r="J30" s="98" t="s">
        <v>20</v>
      </c>
      <c r="K30" s="7" t="s">
        <v>16</v>
      </c>
      <c r="L30" s="7" t="s">
        <v>16</v>
      </c>
    </row>
  </sheetData>
  <mergeCells count="10">
    <mergeCell ref="A15:L15"/>
    <mergeCell ref="A7:L7"/>
    <mergeCell ref="A25:L25"/>
    <mergeCell ref="A19:L19"/>
    <mergeCell ref="A11:L11"/>
    <mergeCell ref="K2:L2"/>
    <mergeCell ref="A1:L1"/>
    <mergeCell ref="A2:G2"/>
    <mergeCell ref="H2:J2"/>
    <mergeCell ref="A4:L4"/>
  </mergeCells>
  <pageMargins left="0" right="0" top="0.74803149606299213" bottom="0.74803149606299213" header="0.31496062992125978" footer="0.31496062992125978"/>
  <pageSetup paperSize="9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L24"/>
  <sheetViews>
    <sheetView zoomScale="118" zoomScaleNormal="118" workbookViewId="0">
      <selection activeCell="A24" sqref="A24:XFD24"/>
    </sheetView>
  </sheetViews>
  <sheetFormatPr baseColWidth="10" defaultRowHeight="14.5" x14ac:dyDescent="0.35"/>
  <cols>
    <col min="1" max="1" width="2.26953125" customWidth="1"/>
    <col min="2" max="2" width="27.7265625" customWidth="1"/>
    <col min="3" max="3" width="9.54296875" customWidth="1"/>
    <col min="4" max="4" width="11.453125" style="51" customWidth="1"/>
    <col min="5" max="6" width="5.26953125" customWidth="1"/>
    <col min="7" max="7" width="6" customWidth="1"/>
    <col min="8" max="12" width="10" customWidth="1"/>
  </cols>
  <sheetData>
    <row r="1" spans="1:12" ht="15" customHeight="1" x14ac:dyDescent="0.35">
      <c r="A1" s="186" t="s">
        <v>0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87"/>
    </row>
    <row r="2" spans="1:12" ht="15" customHeight="1" x14ac:dyDescent="0.35">
      <c r="A2" s="189" t="s">
        <v>1</v>
      </c>
      <c r="B2" s="150"/>
      <c r="C2" s="150"/>
      <c r="D2" s="150"/>
      <c r="E2" s="150"/>
      <c r="F2" s="150"/>
      <c r="G2" s="151"/>
      <c r="H2" s="183" t="s">
        <v>2</v>
      </c>
      <c r="I2" s="150"/>
      <c r="J2" s="151"/>
      <c r="K2" s="185" t="s">
        <v>3</v>
      </c>
      <c r="L2" s="151"/>
    </row>
    <row r="3" spans="1:12" ht="16.5" customHeight="1" x14ac:dyDescent="0.35">
      <c r="A3" s="13" t="s">
        <v>4</v>
      </c>
      <c r="B3" s="14" t="s">
        <v>5</v>
      </c>
      <c r="C3" s="14" t="s">
        <v>6</v>
      </c>
      <c r="D3" s="14" t="s">
        <v>7</v>
      </c>
      <c r="E3" s="14" t="s">
        <v>8</v>
      </c>
      <c r="F3" s="14" t="s">
        <v>9</v>
      </c>
      <c r="G3" s="14" t="s">
        <v>10</v>
      </c>
      <c r="H3" s="14" t="s">
        <v>11</v>
      </c>
      <c r="I3" s="14" t="s">
        <v>12</v>
      </c>
      <c r="J3" s="14" t="s">
        <v>13</v>
      </c>
      <c r="K3" s="14" t="s">
        <v>12</v>
      </c>
      <c r="L3" s="80" t="s">
        <v>10</v>
      </c>
    </row>
    <row r="4" spans="1:12" x14ac:dyDescent="0.35">
      <c r="A4" s="184" t="s">
        <v>14</v>
      </c>
      <c r="B4" s="150"/>
      <c r="C4" s="150"/>
      <c r="D4" s="150"/>
      <c r="E4" s="150"/>
      <c r="F4" s="150"/>
      <c r="G4" s="150"/>
      <c r="H4" s="150"/>
      <c r="I4" s="150"/>
      <c r="J4" s="150"/>
      <c r="K4" s="151"/>
      <c r="L4" s="78"/>
    </row>
    <row r="5" spans="1:12" x14ac:dyDescent="0.35">
      <c r="A5" s="29">
        <v>1</v>
      </c>
      <c r="B5" s="87" t="s">
        <v>15</v>
      </c>
      <c r="C5" s="88">
        <v>42904</v>
      </c>
      <c r="D5" s="29" t="str">
        <f ca="1">DATEDIF(C5,TODAY(),"y") &amp; " años "  &amp; DATEDIF(C5,TODAY(),"ym") &amp; " meses "</f>
        <v xml:space="preserve">9 años 3 meses </v>
      </c>
      <c r="E5" s="125">
        <v>26.1</v>
      </c>
      <c r="F5" s="125">
        <v>133.5</v>
      </c>
      <c r="G5" s="97">
        <f>E5/(F5/100)^2</f>
        <v>14.644615578841057</v>
      </c>
      <c r="H5" s="29" t="s">
        <v>16</v>
      </c>
      <c r="I5" s="29" t="s">
        <v>16</v>
      </c>
      <c r="J5" s="131" t="s">
        <v>17</v>
      </c>
      <c r="K5" s="29" t="s">
        <v>18</v>
      </c>
      <c r="L5" s="29" t="s">
        <v>16</v>
      </c>
    </row>
    <row r="6" spans="1:12" ht="15.75" customHeight="1" x14ac:dyDescent="0.35">
      <c r="A6" s="28">
        <v>2</v>
      </c>
      <c r="B6" s="89" t="s">
        <v>19</v>
      </c>
      <c r="C6" s="90">
        <v>43367</v>
      </c>
      <c r="D6" s="29" t="str">
        <f ca="1">DATEDIF(C6,TODAY(),"y") &amp; " años "  &amp; DATEDIF(C6,TODAY(),"ym") &amp; " meses "</f>
        <v xml:space="preserve">8 años 0 meses </v>
      </c>
      <c r="E6" s="125">
        <v>27.75</v>
      </c>
      <c r="F6" s="125">
        <v>118.5</v>
      </c>
      <c r="G6" s="97">
        <f>E6/(F6/100)^2</f>
        <v>19.761790311381723</v>
      </c>
      <c r="H6" s="133" t="s">
        <v>20</v>
      </c>
      <c r="I6" s="134" t="s">
        <v>21</v>
      </c>
      <c r="J6" s="131" t="s">
        <v>17</v>
      </c>
      <c r="K6" s="29" t="s">
        <v>18</v>
      </c>
      <c r="L6" s="133" t="s">
        <v>20</v>
      </c>
    </row>
    <row r="7" spans="1:12" ht="15" customHeight="1" x14ac:dyDescent="0.35">
      <c r="A7" s="28">
        <v>3</v>
      </c>
      <c r="B7" s="89" t="s">
        <v>22</v>
      </c>
      <c r="C7" s="90">
        <v>43233</v>
      </c>
      <c r="D7" s="29" t="str">
        <f ca="1">DATEDIF(C7,TODAY(),"y") &amp; " años "  &amp; DATEDIF(C7,TODAY(),"ym") &amp; " meses "</f>
        <v xml:space="preserve">8 años 4 meses </v>
      </c>
      <c r="E7" s="125">
        <v>31.8</v>
      </c>
      <c r="F7" s="125">
        <v>122.5</v>
      </c>
      <c r="G7" s="97">
        <f>E7/(F7/100)^2</f>
        <v>21.191170345689294</v>
      </c>
      <c r="H7" s="131" t="s">
        <v>17</v>
      </c>
      <c r="I7" s="135" t="s">
        <v>23</v>
      </c>
      <c r="J7" s="132" t="s">
        <v>24</v>
      </c>
      <c r="K7" s="29" t="s">
        <v>18</v>
      </c>
      <c r="L7" s="131" t="s">
        <v>17</v>
      </c>
    </row>
    <row r="8" spans="1:12" ht="15.75" customHeight="1" x14ac:dyDescent="0.35">
      <c r="A8" s="28">
        <v>4</v>
      </c>
      <c r="B8" s="91" t="s">
        <v>25</v>
      </c>
      <c r="C8" s="92">
        <v>43083</v>
      </c>
      <c r="D8" s="29" t="str">
        <f ca="1">DATEDIF(C8,TODAY(),"y") &amp; " años "  &amp; DATEDIF(C8,TODAY(),"ym") &amp; " meses "</f>
        <v xml:space="preserve">8 años 9 meses </v>
      </c>
      <c r="E8" s="125">
        <v>27.75</v>
      </c>
      <c r="F8" s="125">
        <v>122.3</v>
      </c>
      <c r="G8" s="97">
        <f>E8/(F8/100)^2</f>
        <v>18.552826080125481</v>
      </c>
      <c r="H8" s="29" t="s">
        <v>16</v>
      </c>
      <c r="I8" s="134" t="s">
        <v>21</v>
      </c>
      <c r="J8" s="131" t="s">
        <v>17</v>
      </c>
      <c r="K8" s="29" t="s">
        <v>18</v>
      </c>
      <c r="L8" s="133" t="s">
        <v>20</v>
      </c>
    </row>
    <row r="9" spans="1:12" ht="15.75" customHeight="1" x14ac:dyDescent="0.35">
      <c r="A9" s="28">
        <v>5</v>
      </c>
      <c r="B9" s="93" t="s">
        <v>26</v>
      </c>
      <c r="C9" s="94">
        <v>43465</v>
      </c>
      <c r="D9" s="29" t="str">
        <f ca="1">DATEDIF(C9,TODAY(),"y") &amp; " años "  &amp; DATEDIF(C9,TODAY(),"ym") &amp; " meses "</f>
        <v xml:space="preserve">7 años 9 meses </v>
      </c>
      <c r="E9" s="125">
        <v>23.3</v>
      </c>
      <c r="F9" s="125">
        <v>126.7</v>
      </c>
      <c r="G9" s="97">
        <f>E9/(F9/100)^2</f>
        <v>14.514520438375891</v>
      </c>
      <c r="H9" s="29" t="s">
        <v>16</v>
      </c>
      <c r="I9" s="29" t="s">
        <v>16</v>
      </c>
      <c r="J9" s="137" t="s">
        <v>27</v>
      </c>
      <c r="K9" s="29" t="s">
        <v>18</v>
      </c>
      <c r="L9" s="29" t="s">
        <v>16</v>
      </c>
    </row>
    <row r="10" spans="1:12" x14ac:dyDescent="0.35">
      <c r="A10" s="188" t="s">
        <v>28</v>
      </c>
      <c r="B10" s="176"/>
      <c r="C10" s="176"/>
      <c r="D10" s="176"/>
      <c r="E10" s="176"/>
      <c r="F10" s="176"/>
      <c r="G10" s="176"/>
      <c r="H10" s="176"/>
      <c r="I10" s="176"/>
      <c r="J10" s="176"/>
      <c r="K10" s="177"/>
      <c r="L10" s="79"/>
    </row>
    <row r="11" spans="1:12" ht="16.5" customHeight="1" x14ac:dyDescent="0.35">
      <c r="A11" s="29">
        <v>1</v>
      </c>
      <c r="B11" s="49" t="s">
        <v>29</v>
      </c>
      <c r="C11" s="92">
        <v>42034</v>
      </c>
      <c r="D11" s="29" t="str">
        <f ca="1">DATEDIF(C11,TODAY(),"y") &amp; " años "  &amp; DATEDIF(C11,TODAY(),"ym") &amp; " meses "</f>
        <v xml:space="preserve">11 años 8 meses </v>
      </c>
      <c r="E11" s="130">
        <v>26.3</v>
      </c>
      <c r="F11" s="130">
        <v>132</v>
      </c>
      <c r="G11" s="130">
        <f>E11/(F11/100)^2</f>
        <v>15.094123048668502</v>
      </c>
      <c r="H11" s="77" t="s">
        <v>30</v>
      </c>
      <c r="I11" s="132" t="s">
        <v>31</v>
      </c>
      <c r="J11" s="139" t="s">
        <v>32</v>
      </c>
      <c r="K11" s="29" t="s">
        <v>18</v>
      </c>
      <c r="L11" s="29" t="s">
        <v>16</v>
      </c>
    </row>
    <row r="12" spans="1:12" ht="16.5" customHeight="1" x14ac:dyDescent="0.35">
      <c r="A12" s="28">
        <v>2</v>
      </c>
      <c r="B12" s="49" t="s">
        <v>33</v>
      </c>
      <c r="C12" s="92">
        <v>42284</v>
      </c>
      <c r="D12" s="29" t="str">
        <f ca="1">DATEDIF(C12,TODAY(),"y") &amp; " años "  &amp; DATEDIF(C12,TODAY(),"ym") &amp; " meses "</f>
        <v xml:space="preserve">11 años 0 meses </v>
      </c>
      <c r="E12" s="130">
        <v>36.200000000000003</v>
      </c>
      <c r="F12" s="130">
        <v>139</v>
      </c>
      <c r="G12" s="130">
        <f>E12/(F12/100)^2</f>
        <v>18.736090264479067</v>
      </c>
      <c r="H12" s="77" t="s">
        <v>30</v>
      </c>
      <c r="I12" s="29" t="s">
        <v>16</v>
      </c>
      <c r="J12" s="137" t="s">
        <v>27</v>
      </c>
      <c r="K12" s="29" t="s">
        <v>18</v>
      </c>
      <c r="L12" s="29" t="s">
        <v>16</v>
      </c>
    </row>
    <row r="13" spans="1:12" ht="15" customHeight="1" x14ac:dyDescent="0.35">
      <c r="A13" s="28">
        <v>3</v>
      </c>
      <c r="B13" s="49" t="s">
        <v>34</v>
      </c>
      <c r="C13" s="92">
        <v>41521</v>
      </c>
      <c r="D13" s="29" t="str">
        <f t="shared" ref="D13:D19" ca="1" si="0">DATEDIF(C13,TODAY(),"y") &amp; " años " &amp; DATEDIF(C13,TODAY(),"ym") &amp; " meses "</f>
        <v xml:space="preserve">13 años 1 meses </v>
      </c>
      <c r="E13" s="182" t="s">
        <v>35</v>
      </c>
      <c r="F13" s="150"/>
      <c r="G13" s="150"/>
      <c r="H13" s="150"/>
      <c r="I13" s="150"/>
      <c r="J13" s="150"/>
      <c r="K13" s="150"/>
      <c r="L13" s="151"/>
    </row>
    <row r="14" spans="1:12" ht="16.5" customHeight="1" x14ac:dyDescent="0.35">
      <c r="A14" s="28">
        <v>4</v>
      </c>
      <c r="B14" s="49" t="s">
        <v>36</v>
      </c>
      <c r="C14" s="92">
        <v>42315</v>
      </c>
      <c r="D14" s="29" t="str">
        <f t="shared" ca="1" si="0"/>
        <v xml:space="preserve">10 años 11 meses </v>
      </c>
      <c r="E14" s="129">
        <v>35.1</v>
      </c>
      <c r="F14" s="129">
        <v>125.1</v>
      </c>
      <c r="G14" s="129">
        <f>E14/(F14/100)^2</f>
        <v>22.428100684919695</v>
      </c>
      <c r="H14" s="77" t="s">
        <v>30</v>
      </c>
      <c r="I14" s="132" t="s">
        <v>31</v>
      </c>
      <c r="J14" s="131" t="s">
        <v>17</v>
      </c>
      <c r="K14" s="134" t="s">
        <v>21</v>
      </c>
      <c r="L14" s="133" t="s">
        <v>20</v>
      </c>
    </row>
    <row r="15" spans="1:12" ht="15" customHeight="1" x14ac:dyDescent="0.35">
      <c r="A15" s="28">
        <v>5</v>
      </c>
      <c r="B15" s="50" t="s">
        <v>37</v>
      </c>
      <c r="C15" s="92">
        <v>41491</v>
      </c>
      <c r="D15" s="29" t="str">
        <f t="shared" ca="1" si="0"/>
        <v xml:space="preserve">13 años 2 meses </v>
      </c>
      <c r="E15" s="182" t="s">
        <v>35</v>
      </c>
      <c r="F15" s="150"/>
      <c r="G15" s="150"/>
      <c r="H15" s="150"/>
      <c r="I15" s="150"/>
      <c r="J15" s="150"/>
      <c r="K15" s="150"/>
      <c r="L15" s="151"/>
    </row>
    <row r="16" spans="1:12" ht="16.5" customHeight="1" x14ac:dyDescent="0.35">
      <c r="A16" s="28">
        <v>6</v>
      </c>
      <c r="B16" s="50" t="s">
        <v>38</v>
      </c>
      <c r="C16" s="92">
        <v>41767</v>
      </c>
      <c r="D16" s="29" t="str">
        <f t="shared" ca="1" si="0"/>
        <v xml:space="preserve">12 años 4 meses </v>
      </c>
      <c r="E16" s="130">
        <v>46.25</v>
      </c>
      <c r="F16" s="130">
        <v>141.9</v>
      </c>
      <c r="G16" s="130">
        <f>E16/(F16/100)^2</f>
        <v>22.96925695322863</v>
      </c>
      <c r="H16" s="77" t="s">
        <v>30</v>
      </c>
      <c r="I16" s="134" t="s">
        <v>21</v>
      </c>
      <c r="J16" s="131" t="s">
        <v>17</v>
      </c>
      <c r="K16" s="29" t="s">
        <v>18</v>
      </c>
      <c r="L16" s="133" t="s">
        <v>20</v>
      </c>
    </row>
    <row r="17" spans="1:12" ht="16.5" customHeight="1" x14ac:dyDescent="0.35">
      <c r="A17" s="28">
        <v>7</v>
      </c>
      <c r="B17" s="49" t="s">
        <v>39</v>
      </c>
      <c r="C17" s="92">
        <v>40996</v>
      </c>
      <c r="D17" s="29" t="str">
        <f t="shared" ca="1" si="0"/>
        <v xml:space="preserve">14 años 6 meses </v>
      </c>
      <c r="E17" s="130">
        <v>58.8</v>
      </c>
      <c r="F17" s="130">
        <v>155.6</v>
      </c>
      <c r="G17" s="130">
        <f>E17/(F17/100)^2</f>
        <v>24.286120234468445</v>
      </c>
      <c r="H17" s="77" t="s">
        <v>30</v>
      </c>
      <c r="I17" s="135" t="s">
        <v>23</v>
      </c>
      <c r="J17" s="131" t="s">
        <v>17</v>
      </c>
      <c r="K17" s="29" t="s">
        <v>18</v>
      </c>
      <c r="L17" s="133" t="s">
        <v>20</v>
      </c>
    </row>
    <row r="18" spans="1:12" ht="16.5" customHeight="1" x14ac:dyDescent="0.35">
      <c r="A18" s="28">
        <v>8</v>
      </c>
      <c r="B18" s="49" t="s">
        <v>40</v>
      </c>
      <c r="C18" s="92">
        <v>42029</v>
      </c>
      <c r="D18" s="29" t="str">
        <f t="shared" ca="1" si="0"/>
        <v xml:space="preserve">11 años 8 meses </v>
      </c>
      <c r="E18" s="130">
        <v>58.8</v>
      </c>
      <c r="F18" s="130">
        <v>158</v>
      </c>
      <c r="G18" s="130">
        <f>E18/(F18/100)^2</f>
        <v>23.553917641403615</v>
      </c>
      <c r="H18" s="127" t="s">
        <v>30</v>
      </c>
      <c r="I18" s="29" t="s">
        <v>16</v>
      </c>
      <c r="J18" s="131" t="s">
        <v>17</v>
      </c>
      <c r="K18" s="29" t="s">
        <v>18</v>
      </c>
      <c r="L18" s="133" t="s">
        <v>20</v>
      </c>
    </row>
    <row r="19" spans="1:12" ht="15" customHeight="1" x14ac:dyDescent="0.35">
      <c r="A19" s="28">
        <v>9</v>
      </c>
      <c r="B19" s="49" t="s">
        <v>41</v>
      </c>
      <c r="C19" s="92">
        <v>41639</v>
      </c>
      <c r="D19" s="126" t="str">
        <f t="shared" ca="1" si="0"/>
        <v xml:space="preserve">12 años 9 meses </v>
      </c>
      <c r="E19" s="182" t="s">
        <v>35</v>
      </c>
      <c r="F19" s="150"/>
      <c r="G19" s="150"/>
      <c r="H19" s="150"/>
      <c r="I19" s="150"/>
      <c r="J19" s="150"/>
      <c r="K19" s="150"/>
      <c r="L19" s="151"/>
    </row>
    <row r="20" spans="1:12" ht="15.75" customHeight="1" x14ac:dyDescent="0.35">
      <c r="A20" s="28">
        <v>8</v>
      </c>
      <c r="B20" s="91" t="s">
        <v>42</v>
      </c>
      <c r="C20" s="92">
        <v>42591</v>
      </c>
      <c r="D20" s="29" t="str">
        <f ca="1">DATEDIF(C20,TODAY(),"y") &amp; " años "  &amp; DATEDIF(C20,TODAY(),"ym") &amp; " meses "</f>
        <v xml:space="preserve">10 años 1 meses </v>
      </c>
      <c r="E20" s="130">
        <v>32.950000000000003</v>
      </c>
      <c r="F20" s="130">
        <v>135.4</v>
      </c>
      <c r="G20" s="130">
        <f>E20/(F20/100)^2</f>
        <v>17.972897198300785</v>
      </c>
      <c r="H20" s="128" t="s">
        <v>30</v>
      </c>
      <c r="I20" s="29" t="s">
        <v>16</v>
      </c>
      <c r="J20" s="137" t="s">
        <v>27</v>
      </c>
      <c r="K20" s="128" t="s">
        <v>18</v>
      </c>
      <c r="L20" s="128" t="s">
        <v>16</v>
      </c>
    </row>
    <row r="21" spans="1:12" x14ac:dyDescent="0.35">
      <c r="A21" s="28">
        <v>5</v>
      </c>
      <c r="B21" s="91" t="s">
        <v>43</v>
      </c>
      <c r="C21" s="92">
        <v>42755</v>
      </c>
      <c r="D21" s="29" t="str">
        <f ca="1">DATEDIF(C21,TODAY(),"y") &amp; " años " &amp; DATEDIF(C21,TODAY(),"ym") &amp; " meses "</f>
        <v xml:space="preserve">9 años 8 meses </v>
      </c>
      <c r="E21" s="130">
        <v>42</v>
      </c>
      <c r="F21" s="130">
        <v>136.69999999999999</v>
      </c>
      <c r="G21" s="130">
        <f>E21/(F21/100)^2</f>
        <v>22.475650041285629</v>
      </c>
      <c r="H21" s="128" t="s">
        <v>30</v>
      </c>
      <c r="I21" s="29" t="s">
        <v>16</v>
      </c>
      <c r="J21" s="132" t="s">
        <v>24</v>
      </c>
      <c r="K21" s="29" t="s">
        <v>18</v>
      </c>
      <c r="L21" s="131" t="s">
        <v>17</v>
      </c>
    </row>
    <row r="22" spans="1:12" ht="16.5" customHeight="1" x14ac:dyDescent="0.35">
      <c r="A22" s="28">
        <v>6</v>
      </c>
      <c r="B22" s="91" t="s">
        <v>44</v>
      </c>
      <c r="C22" s="92">
        <v>42631</v>
      </c>
      <c r="D22" s="29" t="str">
        <f ca="1">DATEDIF(C22,TODAY(),"y") &amp; " años " &amp; DATEDIF(C22,TODAY(),"ym") &amp; " meses "</f>
        <v xml:space="preserve">10 años 0 meses </v>
      </c>
      <c r="E22" s="130">
        <v>33.35</v>
      </c>
      <c r="F22" s="130">
        <v>129.19999999999999</v>
      </c>
      <c r="G22" s="130">
        <f>E22/(F22/100)^2</f>
        <v>19.978864936882371</v>
      </c>
      <c r="H22" s="128" t="s">
        <v>30</v>
      </c>
      <c r="I22" s="29" t="s">
        <v>18</v>
      </c>
      <c r="J22" s="29" t="s">
        <v>18</v>
      </c>
      <c r="K22" s="29" t="s">
        <v>18</v>
      </c>
      <c r="L22" s="133" t="s">
        <v>20</v>
      </c>
    </row>
    <row r="23" spans="1:12" ht="16.5" customHeight="1" x14ac:dyDescent="0.35">
      <c r="A23" s="28">
        <v>10</v>
      </c>
      <c r="B23" s="50" t="s">
        <v>45</v>
      </c>
      <c r="C23" s="54">
        <v>42311</v>
      </c>
      <c r="D23" s="29" t="str">
        <f ca="1">DATEDIF(C23,TODAY(),"y") &amp; " años " &amp; DATEDIF(C23,TODAY(),"ym") &amp; " meses "</f>
        <v xml:space="preserve">10 años 11 meses </v>
      </c>
      <c r="E23" s="130">
        <v>36.700000000000003</v>
      </c>
      <c r="F23" s="130">
        <v>134.30000000000001</v>
      </c>
      <c r="G23" s="130">
        <f>E23/(F23/100)^2</f>
        <v>20.347639701516201</v>
      </c>
      <c r="H23" s="128" t="s">
        <v>30</v>
      </c>
      <c r="I23" s="134" t="s">
        <v>21</v>
      </c>
      <c r="J23" s="131" t="s">
        <v>17</v>
      </c>
      <c r="K23" s="29" t="s">
        <v>18</v>
      </c>
      <c r="L23" s="133" t="s">
        <v>20</v>
      </c>
    </row>
    <row r="24" spans="1:12" x14ac:dyDescent="0.35">
      <c r="B24" s="86"/>
    </row>
  </sheetData>
  <mergeCells count="9">
    <mergeCell ref="A1:L1"/>
    <mergeCell ref="A10:K10"/>
    <mergeCell ref="A2:G2"/>
    <mergeCell ref="E13:L13"/>
    <mergeCell ref="E19:L19"/>
    <mergeCell ref="H2:J2"/>
    <mergeCell ref="A4:K4"/>
    <mergeCell ref="E15:L15"/>
    <mergeCell ref="K2:L2"/>
  </mergeCells>
  <pageMargins left="0.7" right="0.7" top="0.75" bottom="0.75" header="0.3" footer="0.3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L28"/>
  <sheetViews>
    <sheetView zoomScale="140" zoomScaleNormal="140" workbookViewId="0">
      <selection activeCell="C22" sqref="C22"/>
    </sheetView>
  </sheetViews>
  <sheetFormatPr baseColWidth="10" defaultRowHeight="14.5" x14ac:dyDescent="0.35"/>
  <cols>
    <col min="1" max="1" width="2.7265625" customWidth="1"/>
    <col min="2" max="2" width="26.1796875" customWidth="1"/>
    <col min="3" max="3" width="8.81640625" style="51" customWidth="1"/>
    <col min="4" max="4" width="10.26953125" customWidth="1"/>
    <col min="5" max="5" width="8.1796875" customWidth="1"/>
    <col min="6" max="12" width="8.26953125" customWidth="1"/>
  </cols>
  <sheetData>
    <row r="1" spans="1:12" ht="15.75" customHeight="1" thickBot="1" x14ac:dyDescent="0.4">
      <c r="A1" s="193" t="s">
        <v>147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5"/>
    </row>
    <row r="2" spans="1:12" ht="15.75" customHeight="1" thickBot="1" x14ac:dyDescent="0.4">
      <c r="A2" s="196" t="s">
        <v>1</v>
      </c>
      <c r="B2" s="197"/>
      <c r="C2" s="197"/>
      <c r="D2" s="197"/>
      <c r="E2" s="197"/>
      <c r="F2" s="197"/>
      <c r="G2" s="198"/>
      <c r="H2" s="199" t="s">
        <v>118</v>
      </c>
      <c r="I2" s="197"/>
      <c r="J2" s="192"/>
      <c r="K2" s="191" t="s">
        <v>3</v>
      </c>
      <c r="L2" s="192"/>
    </row>
    <row r="3" spans="1:12" ht="17.25" customHeight="1" thickBot="1" x14ac:dyDescent="0.4">
      <c r="A3" s="15" t="s">
        <v>4</v>
      </c>
      <c r="B3" s="16" t="s">
        <v>5</v>
      </c>
      <c r="C3" s="17" t="s">
        <v>6</v>
      </c>
      <c r="D3" s="16" t="s">
        <v>7</v>
      </c>
      <c r="E3" s="16" t="s">
        <v>8</v>
      </c>
      <c r="F3" s="16" t="s">
        <v>9</v>
      </c>
      <c r="G3" s="16" t="s">
        <v>10</v>
      </c>
      <c r="H3" s="16" t="s">
        <v>11</v>
      </c>
      <c r="I3" s="16" t="s">
        <v>12</v>
      </c>
      <c r="J3" s="16" t="s">
        <v>13</v>
      </c>
      <c r="K3" s="16" t="s">
        <v>12</v>
      </c>
      <c r="L3" s="16" t="s">
        <v>10</v>
      </c>
    </row>
    <row r="4" spans="1:12" x14ac:dyDescent="0.35">
      <c r="A4" s="152" t="s">
        <v>148</v>
      </c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4"/>
    </row>
    <row r="5" spans="1:12" ht="16.5" customHeight="1" x14ac:dyDescent="0.35">
      <c r="A5" s="4">
        <v>2</v>
      </c>
      <c r="B5" s="49" t="s">
        <v>149</v>
      </c>
      <c r="C5" s="54">
        <v>43357</v>
      </c>
      <c r="D5" s="9" t="str">
        <f ca="1">DATEDIF(C5,TODAY(),"y") &amp; " años "  &amp; DATEDIF(C5,TODAY(),"ym") &amp; " meses "</f>
        <v xml:space="preserve">8 años 0 meses </v>
      </c>
      <c r="E5" s="9">
        <v>27.4</v>
      </c>
      <c r="F5" s="9">
        <v>120.3</v>
      </c>
      <c r="G5" s="20">
        <f t="shared" ref="G5:G11" si="0">E5/(F5/100)^2</f>
        <v>18.932994474191354</v>
      </c>
      <c r="H5" s="99" t="s">
        <v>20</v>
      </c>
      <c r="I5" s="111" t="s">
        <v>21</v>
      </c>
      <c r="J5" s="109" t="s">
        <v>17</v>
      </c>
      <c r="K5" s="9" t="s">
        <v>16</v>
      </c>
      <c r="L5" s="100" t="s">
        <v>20</v>
      </c>
    </row>
    <row r="6" spans="1:12" ht="16.5" customHeight="1" x14ac:dyDescent="0.35">
      <c r="A6" s="82">
        <v>4</v>
      </c>
      <c r="B6" s="50" t="s">
        <v>150</v>
      </c>
      <c r="C6" s="55">
        <v>42651</v>
      </c>
      <c r="D6" s="9" t="str">
        <f t="shared" ref="D6:D11" ca="1" si="1">DATEDIF(C6,TODAY(),"y") &amp; " años " &amp; DATEDIF(C6,TODAY(),"ym") &amp; " meses "</f>
        <v xml:space="preserve">9 años 11 meses </v>
      </c>
      <c r="E6" s="9">
        <v>24</v>
      </c>
      <c r="F6" s="9">
        <v>122</v>
      </c>
      <c r="G6" s="20">
        <f t="shared" si="0"/>
        <v>16.124697661918841</v>
      </c>
      <c r="H6" s="9" t="s">
        <v>30</v>
      </c>
      <c r="I6" s="110" t="s">
        <v>31</v>
      </c>
      <c r="J6" s="9" t="s">
        <v>16</v>
      </c>
      <c r="K6" s="9" t="s">
        <v>16</v>
      </c>
      <c r="L6" s="9" t="s">
        <v>16</v>
      </c>
    </row>
    <row r="7" spans="1:12" ht="16.5" customHeight="1" x14ac:dyDescent="0.35">
      <c r="A7" s="4">
        <v>5</v>
      </c>
      <c r="B7" s="50" t="s">
        <v>151</v>
      </c>
      <c r="C7" s="55">
        <v>42841</v>
      </c>
      <c r="D7" s="9" t="str">
        <f t="shared" ca="1" si="1"/>
        <v xml:space="preserve">9 años 5 meses </v>
      </c>
      <c r="E7" s="9">
        <v>29.7</v>
      </c>
      <c r="F7" s="9">
        <v>131.80000000000001</v>
      </c>
      <c r="G7" s="20">
        <f t="shared" si="0"/>
        <v>17.097225068561599</v>
      </c>
      <c r="H7" s="9" t="s">
        <v>30</v>
      </c>
      <c r="I7" s="9" t="s">
        <v>16</v>
      </c>
      <c r="J7" s="99" t="s">
        <v>20</v>
      </c>
      <c r="K7" s="9" t="s">
        <v>16</v>
      </c>
      <c r="L7" s="9" t="s">
        <v>16</v>
      </c>
    </row>
    <row r="8" spans="1:12" ht="16.5" customHeight="1" x14ac:dyDescent="0.35">
      <c r="A8" s="4">
        <v>6</v>
      </c>
      <c r="B8" s="50" t="s">
        <v>152</v>
      </c>
      <c r="C8" s="55">
        <v>43184</v>
      </c>
      <c r="D8" s="9" t="str">
        <f t="shared" ca="1" si="1"/>
        <v xml:space="preserve">8 años 6 meses </v>
      </c>
      <c r="E8" s="9">
        <v>29.25</v>
      </c>
      <c r="F8" s="9">
        <v>117.9</v>
      </c>
      <c r="G8" s="20">
        <f t="shared" si="0"/>
        <v>21.042544788247252</v>
      </c>
      <c r="H8" s="99" t="s">
        <v>20</v>
      </c>
      <c r="I8" s="111" t="s">
        <v>21</v>
      </c>
      <c r="J8" s="110" t="s">
        <v>24</v>
      </c>
      <c r="K8" s="9" t="s">
        <v>16</v>
      </c>
      <c r="L8" s="109" t="s">
        <v>17</v>
      </c>
    </row>
    <row r="9" spans="1:12" ht="16.5" customHeight="1" x14ac:dyDescent="0.35">
      <c r="A9" s="24">
        <v>9</v>
      </c>
      <c r="B9" s="49" t="s">
        <v>153</v>
      </c>
      <c r="C9" s="54">
        <v>43498</v>
      </c>
      <c r="D9" s="9" t="str">
        <f t="shared" ca="1" si="1"/>
        <v xml:space="preserve">7 años 8 meses </v>
      </c>
      <c r="E9" s="9">
        <v>23.55</v>
      </c>
      <c r="F9" s="9">
        <v>116.5</v>
      </c>
      <c r="G9" s="20">
        <f t="shared" si="0"/>
        <v>17.351581351655032</v>
      </c>
      <c r="H9" s="9" t="s">
        <v>16</v>
      </c>
      <c r="I9" s="111" t="s">
        <v>21</v>
      </c>
      <c r="J9" s="109" t="s">
        <v>17</v>
      </c>
      <c r="K9" s="9" t="s">
        <v>16</v>
      </c>
      <c r="L9" s="99" t="s">
        <v>20</v>
      </c>
    </row>
    <row r="10" spans="1:12" ht="16.5" customHeight="1" x14ac:dyDescent="0.35">
      <c r="A10" s="24">
        <v>10</v>
      </c>
      <c r="B10" s="49" t="s">
        <v>154</v>
      </c>
      <c r="C10" s="54">
        <v>43403</v>
      </c>
      <c r="D10" s="9" t="str">
        <f t="shared" ca="1" si="1"/>
        <v xml:space="preserve">7 años 11 meses </v>
      </c>
      <c r="E10" s="9">
        <v>22.7</v>
      </c>
      <c r="F10" s="9">
        <v>115.8</v>
      </c>
      <c r="G10" s="20">
        <f t="shared" si="0"/>
        <v>16.928120367138867</v>
      </c>
      <c r="H10" s="9" t="s">
        <v>16</v>
      </c>
      <c r="I10" s="111" t="s">
        <v>21</v>
      </c>
      <c r="J10" s="99" t="s">
        <v>20</v>
      </c>
      <c r="K10" s="9" t="s">
        <v>16</v>
      </c>
      <c r="L10" s="9" t="s">
        <v>16</v>
      </c>
    </row>
    <row r="11" spans="1:12" ht="16.5" customHeight="1" x14ac:dyDescent="0.35">
      <c r="A11" s="4">
        <v>11</v>
      </c>
      <c r="B11" s="50" t="s">
        <v>155</v>
      </c>
      <c r="C11" s="55">
        <v>43106</v>
      </c>
      <c r="D11" s="9" t="str">
        <f t="shared" ca="1" si="1"/>
        <v xml:space="preserve">8 años 9 meses </v>
      </c>
      <c r="E11" s="9">
        <v>29.15</v>
      </c>
      <c r="F11" s="9">
        <v>127</v>
      </c>
      <c r="G11" s="20">
        <f t="shared" si="0"/>
        <v>18.07303614607229</v>
      </c>
      <c r="H11" s="99" t="s">
        <v>20</v>
      </c>
      <c r="I11" s="9" t="s">
        <v>16</v>
      </c>
      <c r="J11" s="109" t="s">
        <v>17</v>
      </c>
      <c r="K11" s="9" t="s">
        <v>16</v>
      </c>
      <c r="L11" s="99" t="s">
        <v>20</v>
      </c>
    </row>
    <row r="12" spans="1:12" ht="15" customHeight="1" x14ac:dyDescent="0.35">
      <c r="A12" s="200" t="s">
        <v>156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201"/>
    </row>
    <row r="13" spans="1:12" x14ac:dyDescent="0.35">
      <c r="A13" s="9">
        <v>1</v>
      </c>
      <c r="B13" s="50" t="s">
        <v>157</v>
      </c>
      <c r="C13" s="55">
        <v>41636</v>
      </c>
      <c r="D13" s="9" t="str">
        <f ca="1">DATEDIF(C13,TODAY(),"y") &amp; " años "  &amp; DATEDIF(C13,TODAY(),"ym") &amp; " meses "</f>
        <v xml:space="preserve">12 años 9 meses </v>
      </c>
      <c r="E13" s="9">
        <v>36.200000000000003</v>
      </c>
      <c r="F13" s="9">
        <v>142.1</v>
      </c>
      <c r="G13" s="20">
        <f>E13/(F13/100)^2</f>
        <v>17.927528214809428</v>
      </c>
      <c r="H13" s="9" t="s">
        <v>30</v>
      </c>
      <c r="I13" s="9" t="s">
        <v>21</v>
      </c>
      <c r="J13" s="9" t="s">
        <v>16</v>
      </c>
      <c r="K13" s="9" t="s">
        <v>16</v>
      </c>
      <c r="L13" s="9" t="s">
        <v>16</v>
      </c>
    </row>
    <row r="14" spans="1:12" x14ac:dyDescent="0.35">
      <c r="A14" s="4">
        <v>2</v>
      </c>
      <c r="B14" s="50" t="s">
        <v>158</v>
      </c>
      <c r="C14" s="55">
        <v>41606</v>
      </c>
      <c r="D14" s="9" t="str">
        <f ca="1">DATEDIF(C14,TODAY(),"y") &amp; " años "  &amp; DATEDIF(C14,TODAY(),"ym") &amp; " meses "</f>
        <v xml:space="preserve">12 años 10 meses </v>
      </c>
      <c r="E14" s="190" t="s">
        <v>159</v>
      </c>
      <c r="F14" s="150"/>
      <c r="G14" s="150"/>
      <c r="H14" s="150"/>
      <c r="I14" s="150"/>
      <c r="J14" s="150"/>
      <c r="K14" s="150"/>
      <c r="L14" s="151"/>
    </row>
    <row r="15" spans="1:12" ht="15" customHeight="1" x14ac:dyDescent="0.35">
      <c r="A15" s="4">
        <v>4</v>
      </c>
      <c r="B15" s="50" t="s">
        <v>160</v>
      </c>
      <c r="C15" s="55">
        <v>41304</v>
      </c>
      <c r="D15" s="9" t="str">
        <f t="shared" ref="D15:D22" ca="1" si="2">DATEDIF(C15,TODAY(),"y") &amp; " años " &amp; DATEDIF(C15,TODAY(),"ym") &amp; " meses "</f>
        <v xml:space="preserve">13 años 8 meses </v>
      </c>
      <c r="E15" s="190" t="s">
        <v>159</v>
      </c>
      <c r="F15" s="150"/>
      <c r="G15" s="150"/>
      <c r="H15" s="150"/>
      <c r="I15" s="150"/>
      <c r="J15" s="150"/>
      <c r="K15" s="150"/>
      <c r="L15" s="151"/>
    </row>
    <row r="16" spans="1:12" ht="15" customHeight="1" x14ac:dyDescent="0.35">
      <c r="A16" s="4">
        <v>5</v>
      </c>
      <c r="B16" s="50" t="s">
        <v>161</v>
      </c>
      <c r="C16" s="55">
        <v>41693</v>
      </c>
      <c r="D16" s="9" t="str">
        <f t="shared" ca="1" si="2"/>
        <v xml:space="preserve">12 años 7 meses </v>
      </c>
      <c r="E16" s="190" t="s">
        <v>159</v>
      </c>
      <c r="F16" s="150"/>
      <c r="G16" s="150"/>
      <c r="H16" s="150"/>
      <c r="I16" s="150"/>
      <c r="J16" s="150"/>
      <c r="K16" s="150"/>
      <c r="L16" s="151"/>
    </row>
    <row r="17" spans="1:12" x14ac:dyDescent="0.35">
      <c r="A17" s="4">
        <v>6</v>
      </c>
      <c r="B17" s="50" t="s">
        <v>162</v>
      </c>
      <c r="C17" s="55">
        <v>41693</v>
      </c>
      <c r="D17" s="9" t="str">
        <f t="shared" ca="1" si="2"/>
        <v xml:space="preserve">12 años 7 meses </v>
      </c>
      <c r="E17" s="190" t="s">
        <v>159</v>
      </c>
      <c r="F17" s="150"/>
      <c r="G17" s="150"/>
      <c r="H17" s="150"/>
      <c r="I17" s="150"/>
      <c r="J17" s="150"/>
      <c r="K17" s="150"/>
      <c r="L17" s="151"/>
    </row>
    <row r="18" spans="1:12" ht="16.5" customHeight="1" x14ac:dyDescent="0.35">
      <c r="A18" s="4">
        <v>7</v>
      </c>
      <c r="B18" s="50" t="s">
        <v>163</v>
      </c>
      <c r="C18" s="61">
        <v>42179</v>
      </c>
      <c r="D18" s="9" t="str">
        <f t="shared" ca="1" si="2"/>
        <v xml:space="preserve">11 años 3 meses </v>
      </c>
      <c r="E18" s="9">
        <v>40.25</v>
      </c>
      <c r="F18" s="9">
        <v>141</v>
      </c>
      <c r="G18" s="20">
        <f t="shared" ref="G18:G27" si="3">E18/(F18/100)^2</f>
        <v>20.245460489914997</v>
      </c>
      <c r="H18" s="9" t="s">
        <v>30</v>
      </c>
      <c r="I18" s="9" t="s">
        <v>16</v>
      </c>
      <c r="J18" s="109" t="s">
        <v>17</v>
      </c>
      <c r="K18" s="9" t="s">
        <v>16</v>
      </c>
      <c r="L18" s="99" t="s">
        <v>20</v>
      </c>
    </row>
    <row r="19" spans="1:12" ht="16.5" customHeight="1" x14ac:dyDescent="0.35">
      <c r="A19" s="4">
        <v>8</v>
      </c>
      <c r="B19" s="50" t="s">
        <v>164</v>
      </c>
      <c r="C19" s="55">
        <v>41776</v>
      </c>
      <c r="D19" s="9" t="str">
        <f t="shared" ca="1" si="2"/>
        <v xml:space="preserve">12 años 4 meses </v>
      </c>
      <c r="E19" s="9">
        <v>44.2</v>
      </c>
      <c r="F19" s="9">
        <v>143.4</v>
      </c>
      <c r="G19" s="20">
        <f t="shared" si="3"/>
        <v>21.494332693366321</v>
      </c>
      <c r="H19" s="9" t="s">
        <v>30</v>
      </c>
      <c r="I19" s="120" t="s">
        <v>165</v>
      </c>
      <c r="J19" s="109" t="s">
        <v>17</v>
      </c>
      <c r="K19" s="9" t="s">
        <v>16</v>
      </c>
      <c r="L19" s="99" t="s">
        <v>20</v>
      </c>
    </row>
    <row r="20" spans="1:12" x14ac:dyDescent="0.35">
      <c r="A20" s="4">
        <v>9</v>
      </c>
      <c r="B20" s="50" t="s">
        <v>166</v>
      </c>
      <c r="C20" s="55">
        <v>42180</v>
      </c>
      <c r="D20" s="9" t="str">
        <f t="shared" ca="1" si="2"/>
        <v xml:space="preserve">11 años 3 meses </v>
      </c>
      <c r="E20" s="9">
        <v>48.75</v>
      </c>
      <c r="F20" s="9">
        <v>140.9</v>
      </c>
      <c r="G20" s="20">
        <f t="shared" si="3"/>
        <v>24.555717805187275</v>
      </c>
      <c r="H20" s="9" t="s">
        <v>30</v>
      </c>
      <c r="I20" s="9" t="s">
        <v>16</v>
      </c>
      <c r="J20" s="110" t="s">
        <v>24</v>
      </c>
      <c r="K20" s="9" t="s">
        <v>16</v>
      </c>
      <c r="L20" s="99" t="s">
        <v>17</v>
      </c>
    </row>
    <row r="21" spans="1:12" ht="16.5" customHeight="1" x14ac:dyDescent="0.35">
      <c r="A21" s="4">
        <v>10</v>
      </c>
      <c r="B21" s="50" t="s">
        <v>167</v>
      </c>
      <c r="C21" s="61">
        <v>42018</v>
      </c>
      <c r="D21" s="9" t="str">
        <f t="shared" ca="1" si="2"/>
        <v xml:space="preserve">11 años 8 meses </v>
      </c>
      <c r="E21" s="9">
        <v>45.4</v>
      </c>
      <c r="F21" s="9">
        <v>148.80000000000001</v>
      </c>
      <c r="G21" s="20">
        <f t="shared" si="3"/>
        <v>20.504538096889807</v>
      </c>
      <c r="H21" s="9" t="s">
        <v>30</v>
      </c>
      <c r="I21" s="9" t="s">
        <v>16</v>
      </c>
      <c r="J21" s="109" t="s">
        <v>17</v>
      </c>
      <c r="K21" s="9" t="s">
        <v>16</v>
      </c>
      <c r="L21" s="99" t="s">
        <v>20</v>
      </c>
    </row>
    <row r="22" spans="1:12" ht="16.5" customHeight="1" x14ac:dyDescent="0.35">
      <c r="A22" s="30">
        <v>12</v>
      </c>
      <c r="B22" s="69" t="s">
        <v>168</v>
      </c>
      <c r="C22" s="70">
        <v>42415</v>
      </c>
      <c r="D22" s="9" t="str">
        <f t="shared" ca="1" si="2"/>
        <v xml:space="preserve">10 años 7 meses </v>
      </c>
      <c r="E22" s="9">
        <v>31.35</v>
      </c>
      <c r="F22" s="9">
        <v>134.69999999999999</v>
      </c>
      <c r="G22" s="20">
        <f t="shared" si="3"/>
        <v>17.278353447320864</v>
      </c>
      <c r="H22" s="9" t="s">
        <v>30</v>
      </c>
      <c r="I22" s="120" t="s">
        <v>165</v>
      </c>
      <c r="J22" s="9" t="s">
        <v>16</v>
      </c>
      <c r="K22" s="9" t="s">
        <v>16</v>
      </c>
      <c r="L22" s="9" t="s">
        <v>16</v>
      </c>
    </row>
    <row r="23" spans="1:12" ht="16.5" customHeight="1" x14ac:dyDescent="0.35">
      <c r="A23" s="4">
        <v>3</v>
      </c>
      <c r="B23" s="50" t="s">
        <v>169</v>
      </c>
      <c r="C23" s="55">
        <v>42615</v>
      </c>
      <c r="D23" s="9" t="str">
        <f ca="1">DATEDIF(C23,TODAY(),"y") &amp; " años " &amp; DATEDIF(C23,TODAY(),"ym") &amp; " meses "</f>
        <v xml:space="preserve">10 años 1 meses </v>
      </c>
      <c r="E23" s="9">
        <v>33.049999999999997</v>
      </c>
      <c r="F23" s="9">
        <v>134.9</v>
      </c>
      <c r="G23" s="20">
        <f t="shared" si="3"/>
        <v>18.161326430747096</v>
      </c>
      <c r="H23" s="9" t="s">
        <v>30</v>
      </c>
      <c r="I23" s="9" t="s">
        <v>16</v>
      </c>
      <c r="J23" s="99" t="s">
        <v>20</v>
      </c>
      <c r="K23" s="9" t="s">
        <v>16</v>
      </c>
      <c r="L23" s="9" t="s">
        <v>16</v>
      </c>
    </row>
    <row r="24" spans="1:12" ht="16.5" customHeight="1" x14ac:dyDescent="0.35">
      <c r="A24" s="82">
        <v>7</v>
      </c>
      <c r="B24" s="50" t="s">
        <v>170</v>
      </c>
      <c r="C24" s="55">
        <v>42376</v>
      </c>
      <c r="D24" s="9" t="str">
        <f ca="1">DATEDIF(C24,TODAY(),"y") &amp; " años " &amp; DATEDIF(C24,TODAY(),"ym") &amp; " meses "</f>
        <v xml:space="preserve">10 años 9 meses </v>
      </c>
      <c r="E24" s="9">
        <v>28.5</v>
      </c>
      <c r="F24" s="9">
        <v>122.8</v>
      </c>
      <c r="G24" s="20">
        <f t="shared" si="3"/>
        <v>18.899404768220354</v>
      </c>
      <c r="H24" s="9" t="s">
        <v>30</v>
      </c>
      <c r="I24" s="110" t="s">
        <v>31</v>
      </c>
      <c r="J24" s="109" t="s">
        <v>17</v>
      </c>
      <c r="K24" s="120" t="s">
        <v>23</v>
      </c>
      <c r="L24" s="99" t="s">
        <v>20</v>
      </c>
    </row>
    <row r="25" spans="1:12" x14ac:dyDescent="0.35">
      <c r="A25" s="4">
        <v>8</v>
      </c>
      <c r="B25" s="50" t="s">
        <v>171</v>
      </c>
      <c r="C25" s="55">
        <v>42745</v>
      </c>
      <c r="D25" s="9" t="str">
        <f ca="1">DATEDIF(C25,TODAY(),"y") &amp; " años " &amp; DATEDIF(C25,TODAY(),"ym") &amp; " meses "</f>
        <v xml:space="preserve">9 años 8 meses </v>
      </c>
      <c r="E25" s="9">
        <v>44.35</v>
      </c>
      <c r="F25" s="9">
        <v>145.69999999999999</v>
      </c>
      <c r="G25" s="20">
        <f t="shared" si="3"/>
        <v>20.891735587411073</v>
      </c>
      <c r="H25" s="9" t="s">
        <v>30</v>
      </c>
      <c r="I25" s="9" t="s">
        <v>16</v>
      </c>
      <c r="J25" s="110" t="s">
        <v>24</v>
      </c>
      <c r="K25" s="9" t="s">
        <v>16</v>
      </c>
      <c r="L25" s="99" t="s">
        <v>17</v>
      </c>
    </row>
    <row r="26" spans="1:12" ht="16.5" customHeight="1" x14ac:dyDescent="0.35">
      <c r="A26" s="4">
        <v>12</v>
      </c>
      <c r="B26" s="50" t="s">
        <v>172</v>
      </c>
      <c r="C26" s="55">
        <v>42190</v>
      </c>
      <c r="D26" s="9" t="str">
        <f ca="1">DATEDIF(C26,TODAY(),"y") &amp; " años " &amp; DATEDIF(C26,TODAY(),"ym") &amp; " meses "</f>
        <v xml:space="preserve">11 años 3 meses </v>
      </c>
      <c r="E26" s="9">
        <v>39</v>
      </c>
      <c r="F26" s="9">
        <v>141.80000000000001</v>
      </c>
      <c r="G26" s="20">
        <f t="shared" si="3"/>
        <v>19.395998655210754</v>
      </c>
      <c r="H26" s="9" t="s">
        <v>30</v>
      </c>
      <c r="I26" s="9" t="s">
        <v>16</v>
      </c>
      <c r="J26" s="109" t="s">
        <v>17</v>
      </c>
      <c r="K26" s="9" t="s">
        <v>16</v>
      </c>
      <c r="L26" s="99" t="s">
        <v>20</v>
      </c>
    </row>
    <row r="27" spans="1:12" ht="16.5" customHeight="1" x14ac:dyDescent="0.35">
      <c r="A27" s="81">
        <v>1</v>
      </c>
      <c r="B27" s="68" t="s">
        <v>173</v>
      </c>
      <c r="C27" s="55">
        <v>42647</v>
      </c>
      <c r="D27" s="9" t="str">
        <f ca="1">DATEDIF(C27,TODAY(),"y") &amp; " años " &amp; DATEDIF(C27,TODAY(),"ym") &amp; " meses "</f>
        <v xml:space="preserve">10 años 0 meses </v>
      </c>
      <c r="E27" s="9">
        <v>25.7</v>
      </c>
      <c r="F27" s="9">
        <v>124</v>
      </c>
      <c r="G27" s="20">
        <f t="shared" si="3"/>
        <v>16.714360041623308</v>
      </c>
      <c r="H27" s="9" t="s">
        <v>30</v>
      </c>
      <c r="I27" s="110" t="s">
        <v>31</v>
      </c>
      <c r="J27" s="9" t="s">
        <v>16</v>
      </c>
      <c r="K27" s="9" t="s">
        <v>16</v>
      </c>
      <c r="L27" s="9" t="s">
        <v>16</v>
      </c>
    </row>
    <row r="28" spans="1:12" x14ac:dyDescent="0.35">
      <c r="B28" s="85"/>
    </row>
  </sheetData>
  <mergeCells count="10">
    <mergeCell ref="E17:L17"/>
    <mergeCell ref="E15:L15"/>
    <mergeCell ref="K2:L2"/>
    <mergeCell ref="A1:L1"/>
    <mergeCell ref="E16:L16"/>
    <mergeCell ref="A2:G2"/>
    <mergeCell ref="E14:L14"/>
    <mergeCell ref="H2:J2"/>
    <mergeCell ref="A12:L12"/>
    <mergeCell ref="A4:L4"/>
  </mergeCells>
  <pageMargins left="0" right="0" top="0.74803149606299213" bottom="0.74803149606299213" header="0.31496062992125978" footer="0.31496062992125978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INFANTES </vt:lpstr>
      <vt:lpstr>MIGUEL ECHENIQUE</vt:lpstr>
      <vt:lpstr>TOMAS VALLE</vt:lpstr>
      <vt:lpstr>MATOGROSO MUJERES</vt:lpstr>
      <vt:lpstr>MATOGROSO HOMBRES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Stefany</cp:lastModifiedBy>
  <cp:lastPrinted>2026-05-09T14:24:09Z</cp:lastPrinted>
  <dcterms:created xsi:type="dcterms:W3CDTF">2025-08-09T14:13:49Z</dcterms:created>
  <dcterms:modified xsi:type="dcterms:W3CDTF">2026-10-08T04:32:35Z</dcterms:modified>
</cp:coreProperties>
</file>