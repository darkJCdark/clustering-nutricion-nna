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Stef\pucp\2026-2\1INF03 - ADD\RSU_2026-2\Datos\fwdevaluacionnutricional\Procesados\"/>
    </mc:Choice>
  </mc:AlternateContent>
  <xr:revisionPtr revIDLastSave="0" documentId="13_ncr:1_{77323645-B4BD-4103-A0AC-140DC5AE4C09}" xr6:coauthVersionLast="47" xr6:coauthVersionMax="47" xr10:uidLastSave="{00000000-0000-0000-0000-000000000000}"/>
  <bookViews>
    <workbookView xWindow="-28920" yWindow="-120" windowWidth="29040" windowHeight="15840" activeTab="4" xr2:uid="{00000000-000D-0000-FFFF-FFFF00000000}"/>
  </bookViews>
  <sheets>
    <sheet name="INFANTES" sheetId="1" r:id="rId1"/>
    <sheet name="MIGUEL ECHENIQUE" sheetId="2" r:id="rId2"/>
    <sheet name="TOMAS VALLE" sheetId="3" r:id="rId3"/>
    <sheet name="MATOGROSO MUJERES" sheetId="4" r:id="rId4"/>
    <sheet name="MATOGROSO HOMBR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" i="4" l="1"/>
  <c r="G36" i="4"/>
  <c r="G35" i="4"/>
  <c r="G34" i="4"/>
  <c r="G33" i="4"/>
  <c r="G32" i="4"/>
  <c r="G29" i="4"/>
  <c r="G28" i="4"/>
  <c r="G27" i="4"/>
  <c r="G26" i="4"/>
  <c r="G23" i="4"/>
  <c r="G22" i="4"/>
  <c r="G21" i="4"/>
  <c r="G20" i="4"/>
  <c r="G19" i="4"/>
  <c r="G18" i="4"/>
  <c r="G17" i="4"/>
  <c r="G16" i="4"/>
  <c r="G15" i="4"/>
  <c r="G14" i="4"/>
  <c r="G12" i="4"/>
  <c r="G11" i="4"/>
  <c r="G10" i="4"/>
  <c r="G9" i="4"/>
  <c r="G8" i="4"/>
  <c r="G7" i="4"/>
  <c r="G6" i="4"/>
  <c r="G5" i="4"/>
  <c r="G31" i="3"/>
  <c r="G30" i="3"/>
  <c r="G29" i="3"/>
  <c r="G28" i="3"/>
  <c r="G27" i="3"/>
  <c r="G25" i="3"/>
  <c r="G24" i="3"/>
  <c r="G23" i="3"/>
  <c r="G22" i="3"/>
  <c r="G21" i="3"/>
  <c r="G19" i="3"/>
  <c r="G18" i="3"/>
  <c r="G17" i="3"/>
  <c r="G15" i="3"/>
  <c r="G14" i="3"/>
  <c r="G13" i="3"/>
  <c r="G11" i="3"/>
  <c r="G10" i="3"/>
  <c r="G9" i="3"/>
  <c r="G7" i="3"/>
  <c r="G6" i="3"/>
  <c r="G5" i="3"/>
  <c r="G24" i="2"/>
  <c r="G23" i="2"/>
  <c r="G22" i="2"/>
  <c r="G21" i="2"/>
  <c r="G20" i="2"/>
  <c r="G18" i="2"/>
  <c r="G17" i="2"/>
  <c r="G16" i="2"/>
  <c r="G15" i="2"/>
  <c r="G14" i="2"/>
  <c r="G12" i="2"/>
  <c r="G11" i="2"/>
  <c r="G10" i="2"/>
  <c r="G8" i="2"/>
  <c r="G7" i="2"/>
  <c r="G6" i="2"/>
  <c r="G5" i="2"/>
  <c r="G41" i="1"/>
  <c r="G40" i="1"/>
  <c r="G39" i="1"/>
  <c r="G38" i="1"/>
  <c r="G37" i="1"/>
  <c r="G36" i="1"/>
  <c r="G34" i="1"/>
  <c r="G33" i="1"/>
  <c r="G32" i="1"/>
  <c r="G31" i="1"/>
  <c r="G30" i="1"/>
  <c r="G29" i="1"/>
  <c r="G28" i="1"/>
  <c r="G26" i="1"/>
  <c r="G25" i="1"/>
  <c r="G24" i="1"/>
  <c r="G23" i="1"/>
  <c r="G22" i="1"/>
  <c r="G21" i="1"/>
  <c r="G19" i="1"/>
  <c r="G18" i="1"/>
  <c r="G17" i="1"/>
  <c r="G16" i="1"/>
  <c r="G15" i="1"/>
  <c r="G14" i="1"/>
  <c r="G13" i="1"/>
  <c r="G11" i="1"/>
  <c r="G10" i="1"/>
  <c r="G9" i="1"/>
  <c r="G8" i="1"/>
  <c r="G7" i="1"/>
  <c r="G6" i="1"/>
  <c r="G5" i="1"/>
  <c r="G43" i="5"/>
  <c r="G41" i="5"/>
  <c r="G38" i="5"/>
  <c r="G36" i="5"/>
  <c r="G35" i="5"/>
  <c r="G34" i="5"/>
  <c r="G33" i="5"/>
  <c r="G31" i="5"/>
  <c r="G30" i="5"/>
  <c r="G28" i="5"/>
  <c r="G27" i="5"/>
  <c r="G26" i="5"/>
  <c r="G25" i="5"/>
  <c r="G24" i="5"/>
  <c r="G23" i="5"/>
  <c r="G22" i="5"/>
  <c r="G21" i="5"/>
  <c r="G20" i="5"/>
  <c r="G19" i="5"/>
  <c r="G18" i="5"/>
  <c r="G16" i="5"/>
  <c r="G15" i="5"/>
  <c r="G14" i="5"/>
  <c r="G13" i="5"/>
  <c r="G12" i="5"/>
  <c r="G11" i="5"/>
  <c r="G10" i="5"/>
  <c r="G9" i="5"/>
  <c r="G8" i="5"/>
  <c r="G7" i="5"/>
  <c r="G6" i="5"/>
  <c r="G5" i="5"/>
</calcChain>
</file>

<file path=xl/sharedStrings.xml><?xml version="1.0" encoding="utf-8"?>
<sst xmlns="http://schemas.openxmlformats.org/spreadsheetml/2006/main" count="1056" uniqueCount="329">
  <si>
    <t>HOGAR MATOGROSO HOMBRES: ENERO 2026</t>
  </si>
  <si>
    <t>DATOS</t>
  </si>
  <si>
    <t>SEGÚN PERCENTILES</t>
  </si>
  <si>
    <t>SEGÚN DX RAPIDO</t>
  </si>
  <si>
    <t>N°</t>
  </si>
  <si>
    <t>APELLIDOS Y NOMBRES</t>
  </si>
  <si>
    <t>FECHA DE 
NACIMIENTO</t>
  </si>
  <si>
    <t>EDAD</t>
  </si>
  <si>
    <t>PESO (kg)</t>
  </si>
  <si>
    <t>TALLA (cm)</t>
  </si>
  <si>
    <t>IMC</t>
  </si>
  <si>
    <t>T/E</t>
  </si>
  <si>
    <t>IMC/E</t>
  </si>
  <si>
    <t>CASA BONDAD</t>
  </si>
  <si>
    <t>PPA_FN_0065</t>
  </si>
  <si>
    <t>9 años 4 meses</t>
  </si>
  <si>
    <t xml:space="preserve">TALLA BAJA </t>
  </si>
  <si>
    <t xml:space="preserve">NORMAL </t>
  </si>
  <si>
    <t>PPA_FN_0017</t>
  </si>
  <si>
    <t>7 años 4 meses</t>
  </si>
  <si>
    <t xml:space="preserve">RIESGO TALLA BAJA </t>
  </si>
  <si>
    <t xml:space="preserve">RIESGO SOBREPESO </t>
  </si>
  <si>
    <t>PPA_FN_0066</t>
  </si>
  <si>
    <t>9 años 5 meses</t>
  </si>
  <si>
    <t>PPA_FN_0019</t>
  </si>
  <si>
    <t>PPA_FN_0156</t>
  </si>
  <si>
    <t>8 años 9 meses</t>
  </si>
  <si>
    <t>PPA_FN_0123</t>
  </si>
  <si>
    <t>7 años 10 meses</t>
  </si>
  <si>
    <t xml:space="preserve">SOBREPESO </t>
  </si>
  <si>
    <t xml:space="preserve">TALLA BAJA SEVERA </t>
  </si>
  <si>
    <t>PPA_FN_0084</t>
  </si>
  <si>
    <t>10 años</t>
  </si>
  <si>
    <t>PPA_FN_0091</t>
  </si>
  <si>
    <t>9 años</t>
  </si>
  <si>
    <t xml:space="preserve">ALTO </t>
  </si>
  <si>
    <t>PPA_FN_0015</t>
  </si>
  <si>
    <t>7 años</t>
  </si>
  <si>
    <t>PPA_FN_0016</t>
  </si>
  <si>
    <t>7 años 3 meses</t>
  </si>
  <si>
    <t>PPA_FN_0147</t>
  </si>
  <si>
    <t>8 años</t>
  </si>
  <si>
    <t xml:space="preserve">NORMAl </t>
  </si>
  <si>
    <t>PPA_FN_0148</t>
  </si>
  <si>
    <t>10 años 7 meses</t>
  </si>
  <si>
    <t>CASA PACIENCIA</t>
  </si>
  <si>
    <t>PPA_FN_0113</t>
  </si>
  <si>
    <t>12 años 1 mes</t>
  </si>
  <si>
    <t>PPA_FN_0068</t>
  </si>
  <si>
    <t>12 años 2 meses</t>
  </si>
  <si>
    <t>PPA_FN_0069</t>
  </si>
  <si>
    <t>13 años</t>
  </si>
  <si>
    <t>PPA_FN_0077</t>
  </si>
  <si>
    <t>11 años 11 meses</t>
  </si>
  <si>
    <t>PPA_FN_0076</t>
  </si>
  <si>
    <t>PPA_FN_0119</t>
  </si>
  <si>
    <t>PPA_FN_0073</t>
  </si>
  <si>
    <t>11 años 8 meses</t>
  </si>
  <si>
    <t>PPA_FN_0081</t>
  </si>
  <si>
    <t>PPA_FN_0122</t>
  </si>
  <si>
    <t>11 años</t>
  </si>
  <si>
    <t>PPA_FN_0086</t>
  </si>
  <si>
    <t>12 años 4 meses</t>
  </si>
  <si>
    <t>PPA_FN_0092</t>
  </si>
  <si>
    <t>9 años 11 meses</t>
  </si>
  <si>
    <t>NORMAL</t>
  </si>
  <si>
    <t>CASA ADOLESCENTES VARONES PROVINCIA</t>
  </si>
  <si>
    <t>PPA_FN_0064</t>
  </si>
  <si>
    <t>PPA_FN_0067</t>
  </si>
  <si>
    <t>13 años  10 meses</t>
  </si>
  <si>
    <t>PPA_FN_0072</t>
  </si>
  <si>
    <t>17 años 7 meses</t>
  </si>
  <si>
    <t>PROVINCIA</t>
  </si>
  <si>
    <t>PPA_FN_0074</t>
  </si>
  <si>
    <t>18 años 5 meses</t>
  </si>
  <si>
    <t>PPA_FN_0075</t>
  </si>
  <si>
    <t>16 años 5 meses</t>
  </si>
  <si>
    <t>PPA_FN_0078</t>
  </si>
  <si>
    <t>14 años 5 meses</t>
  </si>
  <si>
    <t>ALTO</t>
  </si>
  <si>
    <t>PPA_FN_0080</t>
  </si>
  <si>
    <t>14 años 10 años</t>
  </si>
  <si>
    <t xml:space="preserve">RIESO TALLA BAJA </t>
  </si>
  <si>
    <t>PPA_FN_0083</t>
  </si>
  <si>
    <t>14 años 8 meses</t>
  </si>
  <si>
    <t>PPA_FN_0087</t>
  </si>
  <si>
    <t>15 años 10 meses</t>
  </si>
  <si>
    <t>PPA_FN_0088</t>
  </si>
  <si>
    <t>16 años 2 meses</t>
  </si>
  <si>
    <t>PPA_FN_0093</t>
  </si>
  <si>
    <t>13 años 7 meses</t>
  </si>
  <si>
    <t>PPA_FN_0095</t>
  </si>
  <si>
    <t>13 años 6 meses</t>
  </si>
  <si>
    <t>PPA_FN_0096</t>
  </si>
  <si>
    <t>PPA_FN_0099</t>
  </si>
  <si>
    <t>15 años 7 meses</t>
  </si>
  <si>
    <t>HOGAR INFANTES: ENERO 2026</t>
  </si>
  <si>
    <t>Según percentiles OMS</t>
  </si>
  <si>
    <t>Según tabla de diagnóstico rápido INS</t>
  </si>
  <si>
    <t>P/E</t>
  </si>
  <si>
    <t>P/T</t>
  </si>
  <si>
    <t>CASA SAN RAFAEL</t>
  </si>
  <si>
    <t>PPA_FN_0117</t>
  </si>
  <si>
    <t>1 año 4 meses</t>
  </si>
  <si>
    <t>SOBREPESO</t>
  </si>
  <si>
    <t>RIESGO DE SOBREPESO</t>
  </si>
  <si>
    <t>*</t>
  </si>
  <si>
    <t>PPA_FN_0140</t>
  </si>
  <si>
    <t>1 año 6 meses</t>
  </si>
  <si>
    <t>OBESIDAD</t>
  </si>
  <si>
    <t>PPA_FN_0144</t>
  </si>
  <si>
    <t>1 año 1 mes</t>
  </si>
  <si>
    <t>RIESGO SOBRE PESO</t>
  </si>
  <si>
    <t xml:space="preserve">RIESGO SOBREPESO                                      </t>
  </si>
  <si>
    <t>PPA_FN_0157</t>
  </si>
  <si>
    <t xml:space="preserve">1 año </t>
  </si>
  <si>
    <t>PPA_FN_0153</t>
  </si>
  <si>
    <t>8 meses</t>
  </si>
  <si>
    <t>PPA_FN_0146</t>
  </si>
  <si>
    <t>3 años 1 mes</t>
  </si>
  <si>
    <t>TALLA BAJA</t>
  </si>
  <si>
    <t/>
  </si>
  <si>
    <t>PPA_FN_0149</t>
  </si>
  <si>
    <t>BAJO PESO</t>
  </si>
  <si>
    <t xml:space="preserve">CASA SAN MARTIN </t>
  </si>
  <si>
    <t>PPA_FN_0121</t>
  </si>
  <si>
    <t>4 años 5 meses</t>
  </si>
  <si>
    <t>TALLA BAJA SEVERA</t>
  </si>
  <si>
    <t>DESNUTRIDO</t>
  </si>
  <si>
    <t>PPA_FN_0002</t>
  </si>
  <si>
    <t>4 años 2 mese</t>
  </si>
  <si>
    <t>PPA_FN_0004</t>
  </si>
  <si>
    <t>RIESGO 
SOBREPESO</t>
  </si>
  <si>
    <t>PPA_FN_0103</t>
  </si>
  <si>
    <t>2 año 11 mese</t>
  </si>
  <si>
    <t>PPA_FN_0128</t>
  </si>
  <si>
    <t>4 años 1 mes</t>
  </si>
  <si>
    <t>PPA_FN_0006</t>
  </si>
  <si>
    <t>3 años 8 meses</t>
  </si>
  <si>
    <t xml:space="preserve"> NORMAL</t>
  </si>
  <si>
    <t>PPA_FN_0115</t>
  </si>
  <si>
    <t>3 años 9 meses</t>
  </si>
  <si>
    <t>CASA SAN NICOLAS</t>
  </si>
  <si>
    <t>PPA_FN_0151</t>
  </si>
  <si>
    <t>4 años 6 meses</t>
  </si>
  <si>
    <t>PPA_FN_0152</t>
  </si>
  <si>
    <t>5 años 2 meses</t>
  </si>
  <si>
    <t>PPA_FN_0120</t>
  </si>
  <si>
    <t>4 años 7 meses</t>
  </si>
  <si>
    <t>PPA_FN_0135</t>
  </si>
  <si>
    <t>4 años 2 meses</t>
  </si>
  <si>
    <t>PPA_FN_0124</t>
  </si>
  <si>
    <t>4 años 8 meses</t>
  </si>
  <si>
    <t>PPA_FN_0145</t>
  </si>
  <si>
    <t>5 años 4 mese</t>
  </si>
  <si>
    <t>CASA SAN VICENTE</t>
  </si>
  <si>
    <t>PPA_FN_0133</t>
  </si>
  <si>
    <t>6 años 7 mese</t>
  </si>
  <si>
    <t>PPA_FN_0106</t>
  </si>
  <si>
    <t xml:space="preserve">6 años </t>
  </si>
  <si>
    <t>PPA_FN_0105</t>
  </si>
  <si>
    <t>6 años</t>
  </si>
  <si>
    <t>PPA_FN_0127</t>
  </si>
  <si>
    <t>6 años 5 meses</t>
  </si>
  <si>
    <t xml:space="preserve">OBESIDAD </t>
  </si>
  <si>
    <t>PPA_FN_0010</t>
  </si>
  <si>
    <t>6 años 1 mes</t>
  </si>
  <si>
    <t>PPA_FN_0125</t>
  </si>
  <si>
    <t>6 años 2 meses</t>
  </si>
  <si>
    <t>PPA_FN_0008</t>
  </si>
  <si>
    <t>CASA SANTA ROSA</t>
  </si>
  <si>
    <t>PPA_FN_0143</t>
  </si>
  <si>
    <t>4 años 11 meses</t>
  </si>
  <si>
    <t>PPA_FN_0104</t>
  </si>
  <si>
    <t>6 años 1  mes</t>
  </si>
  <si>
    <t>PPA_FN_0155</t>
  </si>
  <si>
    <t>5 años 11 meses</t>
  </si>
  <si>
    <t>PPA_FN_0126</t>
  </si>
  <si>
    <t xml:space="preserve">6 años 7 meses </t>
  </si>
  <si>
    <t>PPA_FN_0009</t>
  </si>
  <si>
    <t xml:space="preserve">5 años 7 meses </t>
  </si>
  <si>
    <t>PPA_FN_0011</t>
  </si>
  <si>
    <t xml:space="preserve">5 años 11 meses </t>
  </si>
  <si>
    <t xml:space="preserve">RIESGO 
SOBREPESO </t>
  </si>
  <si>
    <t>HOGAR MIGUEL ECHENIQUE - ENERO 2026</t>
  </si>
  <si>
    <t>SEGUN  PERCENTILES</t>
  </si>
  <si>
    <t>SEGUN TABLA DE DX RAPIDO</t>
  </si>
  <si>
    <t>CASA SANTA ANA</t>
  </si>
  <si>
    <t>PPA_FN_0134</t>
  </si>
  <si>
    <t>7 año 3 meses</t>
  </si>
  <si>
    <t>PPA_FN_0014</t>
  </si>
  <si>
    <t xml:space="preserve">7 años </t>
  </si>
  <si>
    <t>PPA_FN_0013</t>
  </si>
  <si>
    <t xml:space="preserve">NORMAL  </t>
  </si>
  <si>
    <t>PPA_FN_0150</t>
  </si>
  <si>
    <t>7 años 2 meses</t>
  </si>
  <si>
    <t>CASA VIRGEN DEL PILAR</t>
  </si>
  <si>
    <t>PPA_FN_0036</t>
  </si>
  <si>
    <t>11 años 3 meses</t>
  </si>
  <si>
    <t>PPA_FN_0035</t>
  </si>
  <si>
    <t>PPA_FN_0024</t>
  </si>
  <si>
    <t>7 años 7 meses</t>
  </si>
  <si>
    <t>CASA SAGRADO CORAZON</t>
  </si>
  <si>
    <t>PPA_FN_0033</t>
  </si>
  <si>
    <t xml:space="preserve">  12/04/2014</t>
  </si>
  <si>
    <t>11 años 10 meses</t>
  </si>
  <si>
    <t>PPA_FN_0034</t>
  </si>
  <si>
    <t>PPA_FN_0054</t>
  </si>
  <si>
    <t>28 años 2 meses</t>
  </si>
  <si>
    <t>PPA_FN_0030</t>
  </si>
  <si>
    <t>21/11/2012</t>
  </si>
  <si>
    <t>13 años 2 meses</t>
  </si>
  <si>
    <t>PPA_FN_0042</t>
  </si>
  <si>
    <t>14 años 2 meses</t>
  </si>
  <si>
    <t>CASA MEDALLA MILAGROSA</t>
  </si>
  <si>
    <t>PPA_FN_0026</t>
  </si>
  <si>
    <t>17 años 4 meses</t>
  </si>
  <si>
    <t>PPA_FN_0038</t>
  </si>
  <si>
    <t>15 años 6 meses</t>
  </si>
  <si>
    <t>PPA_FN_0041</t>
  </si>
  <si>
    <t>16 años 4 meses</t>
  </si>
  <si>
    <t>PPA_FN_0046</t>
  </si>
  <si>
    <t>16 años 10 meses</t>
  </si>
  <si>
    <t>PPA_FN_0057</t>
  </si>
  <si>
    <t>18 años</t>
  </si>
  <si>
    <t>HOGAR TOMAS VALLE  ENERO 2026</t>
  </si>
  <si>
    <t>CASA 1</t>
  </si>
  <si>
    <t>PPA_FN_0012</t>
  </si>
  <si>
    <t>PPA_FN_0154</t>
  </si>
  <si>
    <t>PPA_FN_0021</t>
  </si>
  <si>
    <t>7 años 9 meses</t>
  </si>
  <si>
    <t>CASA 4</t>
  </si>
  <si>
    <t>PPA_FN_0018</t>
  </si>
  <si>
    <t>7 años 5 meses</t>
  </si>
  <si>
    <t>PPA_FN_0107</t>
  </si>
  <si>
    <t>PPA_FN_0131</t>
  </si>
  <si>
    <t xml:space="preserve">OBEESIDAD </t>
  </si>
  <si>
    <t>CASA 5</t>
  </si>
  <si>
    <t>PPA_FN_0141</t>
  </si>
  <si>
    <t>PPA_FN_0090</t>
  </si>
  <si>
    <t>19/08/2015</t>
  </si>
  <si>
    <t>10 años 5 meses</t>
  </si>
  <si>
    <t>PPA_FN_0132</t>
  </si>
  <si>
    <t>12 años</t>
  </si>
  <si>
    <t>CASA 6</t>
  </si>
  <si>
    <t>PPA_FN_0082</t>
  </si>
  <si>
    <t>13 años 5 meses</t>
  </si>
  <si>
    <t>PPA_FN_0138</t>
  </si>
  <si>
    <t>8 años 11 meses</t>
  </si>
  <si>
    <t>PPA_FN_0142</t>
  </si>
  <si>
    <t>13 años 1 mes</t>
  </si>
  <si>
    <t>CASA 7</t>
  </si>
  <si>
    <t>PPA_FN_0114</t>
  </si>
  <si>
    <t>14 años 4 meses</t>
  </si>
  <si>
    <t>PPA_FN_0079</t>
  </si>
  <si>
    <t>15 años</t>
  </si>
  <si>
    <t>PPA_FN_0101</t>
  </si>
  <si>
    <t>PPA_FN_0094</t>
  </si>
  <si>
    <t>16 años 3 meses</t>
  </si>
  <si>
    <t>PPA_FN_0100</t>
  </si>
  <si>
    <t>13 años  6 meses</t>
  </si>
  <si>
    <t>CASA 8</t>
  </si>
  <si>
    <t>PPA_FN_0071</t>
  </si>
  <si>
    <t>16 años</t>
  </si>
  <si>
    <t>PPA_FN_0085</t>
  </si>
  <si>
    <t>PPA_FN_0089</t>
  </si>
  <si>
    <t>17 años 3 meses</t>
  </si>
  <si>
    <t>PPA_FN_0102</t>
  </si>
  <si>
    <t>14 años 11 meses</t>
  </si>
  <si>
    <t>PPA_FN_0118</t>
  </si>
  <si>
    <t>HOGAR MATOGROSO MUJERES: ENERO 2026</t>
  </si>
  <si>
    <t>SEGÚN TABLA DE DX RAPIDO</t>
  </si>
  <si>
    <t xml:space="preserve">CASA PEQUEÑA ALEGRIA </t>
  </si>
  <si>
    <t>PPA_FN_0022</t>
  </si>
  <si>
    <t>8 años 7 meses</t>
  </si>
  <si>
    <t xml:space="preserve">RIESGO BAJO PESO </t>
  </si>
  <si>
    <t xml:space="preserve">NORNAL </t>
  </si>
  <si>
    <t>PPA_FN_0023</t>
  </si>
  <si>
    <t>PPA_FN_0108</t>
  </si>
  <si>
    <t>7 años 8 meses</t>
  </si>
  <si>
    <t>PPA_FN_0020</t>
  </si>
  <si>
    <t>8 años 1 mes</t>
  </si>
  <si>
    <t>PPA_FN_0136</t>
  </si>
  <si>
    <t>RIESGO SOBREPESO</t>
  </si>
  <si>
    <t>PPA_FN_0051</t>
  </si>
  <si>
    <t>PPA_FN_0025</t>
  </si>
  <si>
    <t>7 años 1 meses</t>
  </si>
  <si>
    <t>PPA_FN_0056</t>
  </si>
  <si>
    <t>CASA AMOR</t>
  </si>
  <si>
    <t>PPA_FN_0028</t>
  </si>
  <si>
    <t>PPA_FN_0031</t>
  </si>
  <si>
    <t>PPA_FN_0043</t>
  </si>
  <si>
    <t>12 años 5 meses</t>
  </si>
  <si>
    <t>PPA_FN_0049</t>
  </si>
  <si>
    <t>10 años 3 meses</t>
  </si>
  <si>
    <t>PPA_FN_0137</t>
  </si>
  <si>
    <t>12 años 6 meses</t>
  </si>
  <si>
    <t>PPA_FN_0055</t>
  </si>
  <si>
    <t>11 años 9 meses</t>
  </si>
  <si>
    <t>PPA_FN_0058</t>
  </si>
  <si>
    <t>13 años 10 meses</t>
  </si>
  <si>
    <t>PPA_FN_0060</t>
  </si>
  <si>
    <t xml:space="preserve">ALTA </t>
  </si>
  <si>
    <t xml:space="preserve">RIESGO DE SOBREPESO </t>
  </si>
  <si>
    <t>PPA_FN_0061</t>
  </si>
  <si>
    <t>PPA_FN_0116</t>
  </si>
  <si>
    <t>CASA ADOLESCENTES MUJERES PROVINCIA</t>
  </si>
  <si>
    <t>PPA_FN_0027</t>
  </si>
  <si>
    <t>15 años 4 meses</t>
  </si>
  <si>
    <t>PPA_FN_0029</t>
  </si>
  <si>
    <t>17 años 2 meses</t>
  </si>
  <si>
    <t>PPA_FN_0032</t>
  </si>
  <si>
    <t>13 años 4 meses</t>
  </si>
  <si>
    <t>PPA_FN_0039</t>
  </si>
  <si>
    <t>PPA_FN_0129</t>
  </si>
  <si>
    <t>14 años 3 meses</t>
  </si>
  <si>
    <t>PPA_FN_0044</t>
  </si>
  <si>
    <t>17 años</t>
  </si>
  <si>
    <t>PPA_FN_0045</t>
  </si>
  <si>
    <t>16 años 7 meses</t>
  </si>
  <si>
    <t>PPA_FN_0048</t>
  </si>
  <si>
    <t>PPA_FN_0047</t>
  </si>
  <si>
    <t>PPA_FN_0050</t>
  </si>
  <si>
    <t>PPA_FN_0053</t>
  </si>
  <si>
    <t>PPA_FN_0052</t>
  </si>
  <si>
    <t>PPA_FN_0062</t>
  </si>
  <si>
    <t>PPA_FN_0063</t>
  </si>
  <si>
    <t>17 años 10 meses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</si>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</sst>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280A]dd/mm/yyyy"/>
    <numFmt numFmtId="165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7"/>
      <color rgb="FF000000"/>
      <name val="Arial"/>
      <family val="2"/>
    </font>
    <font>
      <sz val="7"/>
      <color theme="1"/>
      <name val="Calibri"/>
      <family val="2"/>
    </font>
    <font>
      <sz val="7"/>
      <name val="Calibri"/>
      <family val="2"/>
      <scheme val="minor"/>
    </font>
    <font>
      <sz val="7"/>
      <color theme="1"/>
      <name val="Calibri"/>
      <family val="2"/>
      <scheme val="minor"/>
    </font>
    <font>
      <sz val="7"/>
      <color rgb="FF000000"/>
      <name val="Arial"/>
      <family val="2"/>
    </font>
    <font>
      <sz val="7"/>
      <color theme="1"/>
      <name val="Arial"/>
      <family val="2"/>
    </font>
    <font>
      <b/>
      <sz val="6"/>
      <color theme="1"/>
      <name val="Comic Sans MS"/>
      <family val="4"/>
    </font>
    <font>
      <sz val="6"/>
      <color theme="1"/>
      <name val="Comic Sans MS"/>
      <family val="4"/>
    </font>
    <font>
      <sz val="6"/>
      <color rgb="FF000000"/>
      <name val="Comic Sans MS"/>
      <family val="4"/>
    </font>
    <font>
      <sz val="6"/>
      <name val="Comic Sans MS"/>
      <family val="4"/>
    </font>
    <font>
      <sz val="7"/>
      <color theme="1"/>
      <name val="Comic Sans MS"/>
      <family val="4"/>
    </font>
    <font>
      <b/>
      <sz val="6"/>
      <color rgb="FF000000"/>
      <name val="Comic Sans MS"/>
      <family val="4"/>
    </font>
    <font>
      <sz val="7"/>
      <name val="Calibri"/>
      <family val="2"/>
    </font>
    <font>
      <b/>
      <sz val="7"/>
      <color theme="1"/>
      <name val="Comic Sans MS"/>
      <family val="4"/>
    </font>
    <font>
      <sz val="7"/>
      <name val="Comic Sans MS"/>
      <family val="4"/>
    </font>
    <font>
      <sz val="7"/>
      <color rgb="FF000000"/>
      <name val="Comic Sans MS"/>
      <family val="4"/>
    </font>
    <font>
      <sz val="5"/>
      <color theme="1"/>
      <name val="Comic Sans MS"/>
      <family val="4"/>
    </font>
    <font>
      <sz val="5"/>
      <name val="Comic Sans MS"/>
      <family val="4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7CAAC"/>
        <bgColor rgb="FFF7CAAC"/>
      </patternFill>
    </fill>
    <fill>
      <patternFill patternType="solid">
        <fgColor rgb="FFCCCCFF"/>
        <bgColor rgb="FFCCCCFF"/>
      </patternFill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rgb="FFB4C6E7"/>
      </patternFill>
    </fill>
    <fill>
      <patternFill patternType="solid">
        <fgColor rgb="FFFF99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</fills>
  <borders count="4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25">
    <xf numFmtId="0" fontId="0" fillId="0" borderId="0" xfId="0"/>
    <xf numFmtId="0" fontId="3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64" fontId="6" fillId="0" borderId="6" xfId="0" applyNumberFormat="1" applyFont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/>
    </xf>
    <xf numFmtId="164" fontId="7" fillId="0" borderId="6" xfId="0" applyNumberFormat="1" applyFont="1" applyBorder="1" applyAlignment="1">
      <alignment horizontal="center" vertical="center"/>
    </xf>
    <xf numFmtId="0" fontId="6" fillId="6" borderId="6" xfId="0" applyFont="1" applyFill="1" applyBorder="1" applyAlignment="1">
      <alignment horizontal="left" vertical="center"/>
    </xf>
    <xf numFmtId="164" fontId="6" fillId="6" borderId="6" xfId="0" applyNumberFormat="1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left" vertical="center"/>
    </xf>
    <xf numFmtId="164" fontId="7" fillId="6" borderId="6" xfId="0" applyNumberFormat="1" applyFont="1" applyFill="1" applyBorder="1" applyAlignment="1">
      <alignment horizontal="center" vertical="center"/>
    </xf>
    <xf numFmtId="0" fontId="9" fillId="0" borderId="0" xfId="0" applyFont="1" applyProtection="1">
      <protection locked="0"/>
    </xf>
    <xf numFmtId="0" fontId="9" fillId="0" borderId="0" xfId="0" applyFont="1"/>
    <xf numFmtId="0" fontId="10" fillId="0" borderId="6" xfId="0" applyFont="1" applyBorder="1" applyAlignment="1">
      <alignment horizontal="left" vertical="center"/>
    </xf>
    <xf numFmtId="14" fontId="10" fillId="0" borderId="6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2" fontId="11" fillId="0" borderId="6" xfId="0" applyNumberFormat="1" applyFont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164" fontId="10" fillId="0" borderId="6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 wrapText="1"/>
    </xf>
    <xf numFmtId="0" fontId="9" fillId="0" borderId="6" xfId="1" applyFont="1" applyBorder="1" applyAlignment="1">
      <alignment horizontal="center" vertical="center" wrapText="1"/>
    </xf>
    <xf numFmtId="2" fontId="11" fillId="0" borderId="6" xfId="1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2" fontId="9" fillId="0" borderId="6" xfId="0" applyNumberFormat="1" applyFont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164" fontId="11" fillId="0" borderId="6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0" fontId="9" fillId="6" borderId="0" xfId="0" applyFont="1" applyFill="1"/>
    <xf numFmtId="0" fontId="9" fillId="2" borderId="0" xfId="0" applyFont="1" applyFill="1"/>
    <xf numFmtId="0" fontId="11" fillId="0" borderId="6" xfId="0" applyFont="1" applyBorder="1" applyAlignment="1">
      <alignment horizontal="left" vertical="center"/>
    </xf>
    <xf numFmtId="164" fontId="9" fillId="0" borderId="6" xfId="0" applyNumberFormat="1" applyFont="1" applyBorder="1" applyAlignment="1">
      <alignment horizontal="center" vertical="center"/>
    </xf>
    <xf numFmtId="0" fontId="10" fillId="6" borderId="6" xfId="0" applyFont="1" applyFill="1" applyBorder="1" applyAlignment="1">
      <alignment horizontal="left" vertical="center"/>
    </xf>
    <xf numFmtId="164" fontId="10" fillId="6" borderId="6" xfId="0" applyNumberFormat="1" applyFont="1" applyFill="1" applyBorder="1" applyAlignment="1">
      <alignment horizontal="center" vertical="center"/>
    </xf>
    <xf numFmtId="2" fontId="9" fillId="6" borderId="6" xfId="0" applyNumberFormat="1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left" vertical="center"/>
    </xf>
    <xf numFmtId="14" fontId="10" fillId="6" borderId="6" xfId="0" applyNumberFormat="1" applyFont="1" applyFill="1" applyBorder="1" applyAlignment="1">
      <alignment horizontal="center" vertical="center"/>
    </xf>
    <xf numFmtId="164" fontId="9" fillId="6" borderId="6" xfId="0" applyNumberFormat="1" applyFont="1" applyFill="1" applyBorder="1" applyAlignment="1">
      <alignment horizontal="center" vertical="center"/>
    </xf>
    <xf numFmtId="2" fontId="9" fillId="0" borderId="0" xfId="0" applyNumberFormat="1" applyFont="1"/>
    <xf numFmtId="0" fontId="9" fillId="6" borderId="6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11" fillId="0" borderId="19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1" fontId="9" fillId="0" borderId="13" xfId="0" applyNumberFormat="1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1" fontId="9" fillId="0" borderId="13" xfId="1" applyNumberFormat="1" applyFont="1" applyBorder="1" applyAlignment="1">
      <alignment horizontal="center" vertical="center" wrapText="1"/>
    </xf>
    <xf numFmtId="0" fontId="9" fillId="6" borderId="14" xfId="0" applyFont="1" applyFill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left" vertical="center"/>
    </xf>
    <xf numFmtId="164" fontId="10" fillId="0" borderId="22" xfId="0" applyNumberFormat="1" applyFont="1" applyBorder="1" applyAlignment="1">
      <alignment horizontal="center" vertical="center"/>
    </xf>
    <xf numFmtId="0" fontId="9" fillId="0" borderId="22" xfId="0" applyFont="1" applyBorder="1" applyAlignment="1">
      <alignment vertical="center"/>
    </xf>
    <xf numFmtId="2" fontId="9" fillId="0" borderId="22" xfId="0" applyNumberFormat="1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6" borderId="22" xfId="0" applyFont="1" applyFill="1" applyBorder="1" applyAlignment="1">
      <alignment horizontal="center" vertical="center" wrapText="1"/>
    </xf>
    <xf numFmtId="0" fontId="11" fillId="6" borderId="11" xfId="0" applyFont="1" applyFill="1" applyBorder="1" applyAlignment="1">
      <alignment horizontal="center" vertical="center" wrapText="1"/>
    </xf>
    <xf numFmtId="0" fontId="11" fillId="6" borderId="13" xfId="0" applyFont="1" applyFill="1" applyBorder="1" applyAlignment="1">
      <alignment horizontal="center" vertical="center" wrapText="1"/>
    </xf>
    <xf numFmtId="0" fontId="11" fillId="6" borderId="14" xfId="0" applyFont="1" applyFill="1" applyBorder="1" applyAlignment="1">
      <alignment horizontal="center" vertical="center" wrapText="1"/>
    </xf>
    <xf numFmtId="0" fontId="11" fillId="6" borderId="21" xfId="0" applyFont="1" applyFill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1" fontId="9" fillId="0" borderId="20" xfId="0" applyNumberFormat="1" applyFont="1" applyBorder="1" applyAlignment="1">
      <alignment horizontal="center" vertical="center" wrapText="1"/>
    </xf>
    <xf numFmtId="0" fontId="10" fillId="0" borderId="11" xfId="0" applyFont="1" applyBorder="1" applyAlignment="1">
      <alignment horizontal="left" vertical="center"/>
    </xf>
    <xf numFmtId="14" fontId="10" fillId="0" borderId="11" xfId="0" applyNumberFormat="1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2" fontId="11" fillId="0" borderId="11" xfId="0" applyNumberFormat="1" applyFont="1" applyBorder="1" applyAlignment="1">
      <alignment horizontal="center" vertical="center" wrapText="1"/>
    </xf>
    <xf numFmtId="2" fontId="11" fillId="0" borderId="12" xfId="0" applyNumberFormat="1" applyFont="1" applyBorder="1" applyAlignment="1">
      <alignment horizontal="center" vertical="center" wrapText="1"/>
    </xf>
    <xf numFmtId="2" fontId="11" fillId="0" borderId="14" xfId="0" applyNumberFormat="1" applyFont="1" applyBorder="1" applyAlignment="1">
      <alignment horizontal="center" vertical="center" wrapText="1"/>
    </xf>
    <xf numFmtId="1" fontId="9" fillId="0" borderId="21" xfId="1" applyNumberFormat="1" applyFont="1" applyBorder="1" applyAlignment="1">
      <alignment horizontal="center" vertical="center" wrapText="1"/>
    </xf>
    <xf numFmtId="0" fontId="10" fillId="0" borderId="22" xfId="0" applyFont="1" applyBorder="1" applyAlignment="1">
      <alignment horizontal="left" vertical="center" wrapText="1"/>
    </xf>
    <xf numFmtId="0" fontId="9" fillId="0" borderId="22" xfId="1" applyFont="1" applyBorder="1" applyAlignment="1">
      <alignment horizontal="center" vertical="center" wrapText="1"/>
    </xf>
    <xf numFmtId="2" fontId="11" fillId="0" borderId="22" xfId="1" applyNumberFormat="1" applyFont="1" applyBorder="1" applyAlignment="1">
      <alignment horizontal="center" vertical="center" wrapText="1"/>
    </xf>
    <xf numFmtId="2" fontId="11" fillId="0" borderId="23" xfId="0" applyNumberFormat="1" applyFont="1" applyBorder="1" applyAlignment="1">
      <alignment horizontal="center" vertical="center" wrapText="1"/>
    </xf>
    <xf numFmtId="164" fontId="10" fillId="0" borderId="11" xfId="0" applyNumberFormat="1" applyFont="1" applyBorder="1" applyAlignment="1">
      <alignment horizontal="center" vertical="center"/>
    </xf>
    <xf numFmtId="2" fontId="9" fillId="0" borderId="11" xfId="0" applyNumberFormat="1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2" fontId="9" fillId="0" borderId="22" xfId="0" applyNumberFormat="1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left" vertical="center" wrapText="1"/>
    </xf>
    <xf numFmtId="164" fontId="9" fillId="0" borderId="22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left" vertical="center"/>
    </xf>
    <xf numFmtId="164" fontId="9" fillId="0" borderId="11" xfId="0" applyNumberFormat="1" applyFont="1" applyBorder="1" applyAlignment="1">
      <alignment horizontal="center" vertical="center"/>
    </xf>
    <xf numFmtId="2" fontId="11" fillId="6" borderId="14" xfId="0" applyNumberFormat="1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left" vertical="center"/>
    </xf>
    <xf numFmtId="164" fontId="9" fillId="6" borderId="22" xfId="0" applyNumberFormat="1" applyFont="1" applyFill="1" applyBorder="1" applyAlignment="1">
      <alignment horizontal="center" vertical="center"/>
    </xf>
    <xf numFmtId="2" fontId="9" fillId="6" borderId="22" xfId="0" applyNumberFormat="1" applyFont="1" applyFill="1" applyBorder="1" applyAlignment="1">
      <alignment horizontal="center" vertical="center" wrapText="1"/>
    </xf>
    <xf numFmtId="2" fontId="11" fillId="6" borderId="23" xfId="0" applyNumberFormat="1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1" fillId="13" borderId="6" xfId="0" applyFont="1" applyFill="1" applyBorder="1" applyAlignment="1">
      <alignment horizontal="center" vertical="center" wrapText="1"/>
    </xf>
    <xf numFmtId="0" fontId="9" fillId="13" borderId="6" xfId="0" applyFont="1" applyFill="1" applyBorder="1" applyAlignment="1">
      <alignment horizontal="center" vertical="center" wrapText="1"/>
    </xf>
    <xf numFmtId="0" fontId="9" fillId="13" borderId="22" xfId="0" applyFont="1" applyFill="1" applyBorder="1" applyAlignment="1">
      <alignment horizontal="center" vertical="center" wrapText="1"/>
    </xf>
    <xf numFmtId="0" fontId="11" fillId="16" borderId="6" xfId="0" applyFont="1" applyFill="1" applyBorder="1" applyAlignment="1">
      <alignment horizontal="center" vertical="center" wrapText="1"/>
    </xf>
    <xf numFmtId="0" fontId="9" fillId="16" borderId="6" xfId="0" applyFont="1" applyFill="1" applyBorder="1" applyAlignment="1">
      <alignment horizontal="center" vertical="center" wrapText="1"/>
    </xf>
    <xf numFmtId="0" fontId="9" fillId="16" borderId="11" xfId="0" applyFont="1" applyFill="1" applyBorder="1" applyAlignment="1">
      <alignment horizontal="center" vertical="center" wrapText="1"/>
    </xf>
    <xf numFmtId="0" fontId="11" fillId="17" borderId="6" xfId="0" applyFont="1" applyFill="1" applyBorder="1" applyAlignment="1">
      <alignment horizontal="center" vertical="center" wrapText="1"/>
    </xf>
    <xf numFmtId="0" fontId="9" fillId="17" borderId="6" xfId="0" applyFont="1" applyFill="1" applyBorder="1" applyAlignment="1">
      <alignment horizontal="center" vertical="center" wrapText="1"/>
    </xf>
    <xf numFmtId="0" fontId="11" fillId="17" borderId="14" xfId="0" applyFont="1" applyFill="1" applyBorder="1" applyAlignment="1">
      <alignment horizontal="center" vertical="center" wrapText="1"/>
    </xf>
    <xf numFmtId="0" fontId="9" fillId="17" borderId="14" xfId="0" applyFont="1" applyFill="1" applyBorder="1" applyAlignment="1">
      <alignment horizontal="center" vertical="center" wrapText="1"/>
    </xf>
    <xf numFmtId="0" fontId="9" fillId="17" borderId="23" xfId="0" applyFont="1" applyFill="1" applyBorder="1" applyAlignment="1">
      <alignment horizontal="center" vertical="center" wrapText="1"/>
    </xf>
    <xf numFmtId="0" fontId="9" fillId="18" borderId="6" xfId="0" applyFont="1" applyFill="1" applyBorder="1" applyAlignment="1">
      <alignment horizontal="center" vertical="center" wrapText="1"/>
    </xf>
    <xf numFmtId="0" fontId="11" fillId="18" borderId="12" xfId="0" applyFont="1" applyFill="1" applyBorder="1" applyAlignment="1">
      <alignment horizontal="center" vertical="center" wrapText="1"/>
    </xf>
    <xf numFmtId="0" fontId="9" fillId="18" borderId="14" xfId="0" applyFont="1" applyFill="1" applyBorder="1" applyAlignment="1">
      <alignment horizontal="center" vertical="center" wrapText="1"/>
    </xf>
    <xf numFmtId="0" fontId="9" fillId="18" borderId="23" xfId="0" applyFont="1" applyFill="1" applyBorder="1" applyAlignment="1">
      <alignment horizontal="center" vertical="center" wrapText="1"/>
    </xf>
    <xf numFmtId="0" fontId="9" fillId="18" borderId="12" xfId="0" applyFont="1" applyFill="1" applyBorder="1" applyAlignment="1">
      <alignment horizontal="center" vertical="center" wrapText="1"/>
    </xf>
    <xf numFmtId="0" fontId="11" fillId="18" borderId="20" xfId="0" applyFont="1" applyFill="1" applyBorder="1" applyAlignment="1">
      <alignment horizontal="center" vertical="center" wrapText="1"/>
    </xf>
    <xf numFmtId="0" fontId="11" fillId="18" borderId="13" xfId="0" applyFont="1" applyFill="1" applyBorder="1" applyAlignment="1">
      <alignment horizontal="center" vertical="center" wrapText="1"/>
    </xf>
    <xf numFmtId="0" fontId="11" fillId="18" borderId="6" xfId="0" applyFont="1" applyFill="1" applyBorder="1" applyAlignment="1">
      <alignment horizontal="center" vertical="center" wrapText="1"/>
    </xf>
    <xf numFmtId="0" fontId="9" fillId="15" borderId="11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 applyProtection="1">
      <alignment horizontal="center" vertical="center" wrapText="1"/>
      <protection locked="0"/>
    </xf>
    <xf numFmtId="0" fontId="8" fillId="2" borderId="28" xfId="0" applyFont="1" applyFill="1" applyBorder="1" applyAlignment="1" applyProtection="1">
      <alignment horizontal="center" vertical="center" wrapText="1"/>
      <protection locked="0"/>
    </xf>
    <xf numFmtId="0" fontId="9" fillId="4" borderId="21" xfId="0" applyFont="1" applyFill="1" applyBorder="1" applyAlignment="1">
      <alignment horizontal="center" vertical="center" wrapText="1"/>
    </xf>
    <xf numFmtId="0" fontId="9" fillId="4" borderId="22" xfId="0" applyFont="1" applyFill="1" applyBorder="1" applyAlignment="1">
      <alignment horizontal="center" vertical="center" wrapText="1"/>
    </xf>
    <xf numFmtId="2" fontId="9" fillId="4" borderId="22" xfId="0" applyNumberFormat="1" applyFont="1" applyFill="1" applyBorder="1" applyAlignment="1">
      <alignment horizontal="center" vertical="center" wrapText="1"/>
    </xf>
    <xf numFmtId="0" fontId="9" fillId="15" borderId="22" xfId="0" applyFont="1" applyFill="1" applyBorder="1" applyAlignment="1">
      <alignment horizontal="center" vertical="center" wrapText="1"/>
    </xf>
    <xf numFmtId="0" fontId="9" fillId="4" borderId="23" xfId="0" applyFont="1" applyFill="1" applyBorder="1" applyAlignment="1">
      <alignment horizontal="center" vertical="center" wrapText="1"/>
    </xf>
    <xf numFmtId="0" fontId="11" fillId="19" borderId="6" xfId="0" applyFont="1" applyFill="1" applyBorder="1" applyAlignment="1">
      <alignment horizontal="center" vertical="center" wrapText="1"/>
    </xf>
    <xf numFmtId="0" fontId="9" fillId="14" borderId="20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8" fillId="7" borderId="18" xfId="0" applyFont="1" applyFill="1" applyBorder="1" applyAlignment="1">
      <alignment vertical="center"/>
    </xf>
    <xf numFmtId="0" fontId="9" fillId="6" borderId="0" xfId="0" applyFont="1" applyFill="1" applyAlignment="1">
      <alignment vertical="center"/>
    </xf>
    <xf numFmtId="0" fontId="9" fillId="0" borderId="14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6" borderId="13" xfId="0" applyFont="1" applyFill="1" applyBorder="1" applyAlignment="1">
      <alignment horizontal="center" vertical="center"/>
    </xf>
    <xf numFmtId="0" fontId="11" fillId="19" borderId="14" xfId="0" applyFont="1" applyFill="1" applyBorder="1" applyAlignment="1">
      <alignment horizontal="center" vertical="center" wrapText="1"/>
    </xf>
    <xf numFmtId="0" fontId="11" fillId="17" borderId="23" xfId="0" applyFont="1" applyFill="1" applyBorder="1" applyAlignment="1">
      <alignment horizontal="center" vertical="center" wrapText="1"/>
    </xf>
    <xf numFmtId="0" fontId="8" fillId="8" borderId="21" xfId="0" applyFont="1" applyFill="1" applyBorder="1" applyAlignment="1">
      <alignment horizontal="center" vertical="center"/>
    </xf>
    <xf numFmtId="0" fontId="8" fillId="8" borderId="22" xfId="0" applyFont="1" applyFill="1" applyBorder="1" applyAlignment="1">
      <alignment horizontal="center" vertical="center"/>
    </xf>
    <xf numFmtId="0" fontId="8" fillId="8" borderId="22" xfId="0" applyFont="1" applyFill="1" applyBorder="1" applyAlignment="1">
      <alignment horizontal="center" vertical="center" wrapText="1"/>
    </xf>
    <xf numFmtId="0" fontId="8" fillId="8" borderId="23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left" vertical="center" wrapText="1"/>
    </xf>
    <xf numFmtId="14" fontId="9" fillId="0" borderId="11" xfId="0" applyNumberFormat="1" applyFont="1" applyBorder="1" applyAlignment="1">
      <alignment horizontal="center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22" xfId="0" applyFont="1" applyBorder="1" applyAlignment="1">
      <alignment horizontal="left" vertical="center"/>
    </xf>
    <xf numFmtId="0" fontId="11" fillId="13" borderId="20" xfId="0" applyFont="1" applyFill="1" applyBorder="1" applyAlignment="1">
      <alignment horizontal="center" vertical="center" wrapText="1"/>
    </xf>
    <xf numFmtId="0" fontId="11" fillId="16" borderId="21" xfId="0" applyFont="1" applyFill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1" fillId="13" borderId="21" xfId="0" applyFont="1" applyFill="1" applyBorder="1" applyAlignment="1">
      <alignment horizontal="center" vertical="center" wrapText="1"/>
    </xf>
    <xf numFmtId="0" fontId="11" fillId="16" borderId="13" xfId="0" applyFont="1" applyFill="1" applyBorder="1" applyAlignment="1">
      <alignment horizontal="center" vertical="center" wrapText="1"/>
    </xf>
    <xf numFmtId="0" fontId="11" fillId="13" borderId="13" xfId="0" applyFont="1" applyFill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10" borderId="6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left" vertical="center" wrapText="1"/>
    </xf>
    <xf numFmtId="14" fontId="6" fillId="6" borderId="6" xfId="0" applyNumberFormat="1" applyFont="1" applyFill="1" applyBorder="1" applyAlignment="1">
      <alignment horizontal="center" vertical="center" wrapText="1"/>
    </xf>
    <xf numFmtId="0" fontId="5" fillId="0" borderId="0" xfId="0" applyFont="1" applyAlignment="1" applyProtection="1">
      <alignment vertical="center"/>
      <protection locked="0"/>
    </xf>
    <xf numFmtId="0" fontId="5" fillId="0" borderId="0" xfId="0" applyFont="1" applyAlignment="1">
      <alignment vertical="center"/>
    </xf>
    <xf numFmtId="0" fontId="5" fillId="6" borderId="0" xfId="0" applyFont="1" applyFill="1" applyAlignment="1">
      <alignment vertical="center"/>
    </xf>
    <xf numFmtId="0" fontId="3" fillId="8" borderId="31" xfId="0" applyFont="1" applyFill="1" applyBorder="1" applyAlignment="1" applyProtection="1">
      <alignment horizontal="center" vertical="center" wrapText="1"/>
      <protection locked="0"/>
    </xf>
    <xf numFmtId="0" fontId="3" fillId="8" borderId="32" xfId="0" applyFont="1" applyFill="1" applyBorder="1" applyAlignment="1" applyProtection="1">
      <alignment horizontal="center" vertical="center" wrapText="1"/>
      <protection locked="0"/>
    </xf>
    <xf numFmtId="0" fontId="3" fillId="8" borderId="33" xfId="0" applyFont="1" applyFill="1" applyBorder="1" applyAlignment="1" applyProtection="1">
      <alignment horizontal="center" vertical="center" wrapText="1"/>
      <protection locked="0"/>
    </xf>
    <xf numFmtId="0" fontId="5" fillId="6" borderId="13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wrapText="1"/>
    </xf>
    <xf numFmtId="0" fontId="3" fillId="10" borderId="13" xfId="0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left" vertical="center"/>
    </xf>
    <xf numFmtId="14" fontId="6" fillId="0" borderId="22" xfId="0" applyNumberFormat="1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/>
    </xf>
    <xf numFmtId="164" fontId="7" fillId="0" borderId="11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165" fontId="4" fillId="0" borderId="12" xfId="0" applyNumberFormat="1" applyFont="1" applyBorder="1" applyAlignment="1">
      <alignment horizontal="center" vertical="center" wrapText="1"/>
    </xf>
    <xf numFmtId="165" fontId="4" fillId="6" borderId="14" xfId="0" applyNumberFormat="1" applyFont="1" applyFill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left" vertical="center"/>
    </xf>
    <xf numFmtId="164" fontId="7" fillId="0" borderId="22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165" fontId="4" fillId="0" borderId="23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3" fillId="6" borderId="22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164" fontId="6" fillId="0" borderId="11" xfId="0" applyNumberFormat="1" applyFont="1" applyBorder="1" applyAlignment="1">
      <alignment horizontal="center" vertical="center"/>
    </xf>
    <xf numFmtId="0" fontId="3" fillId="10" borderId="11" xfId="0" applyFont="1" applyFill="1" applyBorder="1" applyAlignment="1">
      <alignment horizontal="center" vertical="center" wrapText="1"/>
    </xf>
    <xf numFmtId="164" fontId="6" fillId="0" borderId="22" xfId="0" applyNumberFormat="1" applyFont="1" applyBorder="1" applyAlignment="1">
      <alignment horizontal="center" vertical="center"/>
    </xf>
    <xf numFmtId="0" fontId="3" fillId="10" borderId="22" xfId="0" applyFont="1" applyFill="1" applyBorder="1" applyAlignment="1">
      <alignment horizontal="center" vertical="center" wrapText="1"/>
    </xf>
    <xf numFmtId="14" fontId="6" fillId="0" borderId="11" xfId="0" applyNumberFormat="1" applyFont="1" applyBorder="1" applyAlignment="1">
      <alignment horizontal="center" vertical="center"/>
    </xf>
    <xf numFmtId="0" fontId="3" fillId="10" borderId="21" xfId="0" applyFont="1" applyFill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10" borderId="20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20" borderId="23" xfId="0" applyFont="1" applyFill="1" applyBorder="1" applyAlignment="1">
      <alignment horizontal="center" vertical="center" wrapText="1"/>
    </xf>
    <xf numFmtId="0" fontId="15" fillId="7" borderId="30" xfId="0" applyFont="1" applyFill="1" applyBorder="1" applyAlignment="1">
      <alignment vertical="center"/>
    </xf>
    <xf numFmtId="0" fontId="16" fillId="13" borderId="20" xfId="0" applyFont="1" applyFill="1" applyBorder="1" applyAlignment="1">
      <alignment horizontal="center" vertical="center" wrapText="1"/>
    </xf>
    <xf numFmtId="0" fontId="16" fillId="16" borderId="21" xfId="0" applyFont="1" applyFill="1" applyBorder="1" applyAlignment="1">
      <alignment horizontal="center" vertical="center" wrapText="1"/>
    </xf>
    <xf numFmtId="0" fontId="12" fillId="18" borderId="14" xfId="0" applyFont="1" applyFill="1" applyBorder="1" applyAlignment="1">
      <alignment horizontal="center" vertical="center" wrapText="1"/>
    </xf>
    <xf numFmtId="0" fontId="12" fillId="17" borderId="14" xfId="0" applyFont="1" applyFill="1" applyBorder="1" applyAlignment="1">
      <alignment horizontal="center" vertical="center" wrapText="1"/>
    </xf>
    <xf numFmtId="0" fontId="12" fillId="17" borderId="23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16" fillId="13" borderId="9" xfId="0" applyFont="1" applyFill="1" applyBorder="1" applyAlignment="1">
      <alignment horizontal="center" vertical="center" wrapText="1"/>
    </xf>
    <xf numFmtId="0" fontId="16" fillId="16" borderId="9" xfId="0" applyFont="1" applyFill="1" applyBorder="1" applyAlignment="1">
      <alignment horizontal="center" vertical="center" wrapText="1"/>
    </xf>
    <xf numFmtId="0" fontId="16" fillId="13" borderId="13" xfId="0" applyFont="1" applyFill="1" applyBorder="1" applyAlignment="1">
      <alignment horizontal="center" vertical="center" wrapText="1"/>
    </xf>
    <xf numFmtId="0" fontId="16" fillId="16" borderId="25" xfId="0" applyFont="1" applyFill="1" applyBorder="1" applyAlignment="1">
      <alignment horizontal="center" vertical="center" wrapText="1"/>
    </xf>
    <xf numFmtId="0" fontId="16" fillId="16" borderId="20" xfId="0" applyFont="1" applyFill="1" applyBorder="1" applyAlignment="1">
      <alignment horizontal="center" vertical="center" wrapText="1"/>
    </xf>
    <xf numFmtId="0" fontId="16" fillId="13" borderId="21" xfId="0" applyFont="1" applyFill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6" borderId="8" xfId="0" applyNumberFormat="1" applyFont="1" applyFill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0" fontId="16" fillId="16" borderId="18" xfId="0" applyFont="1" applyFill="1" applyBorder="1" applyAlignment="1">
      <alignment horizontal="center" vertical="center" wrapText="1"/>
    </xf>
    <xf numFmtId="0" fontId="12" fillId="16" borderId="20" xfId="0" applyFont="1" applyFill="1" applyBorder="1" applyAlignment="1">
      <alignment horizontal="center" vertical="center" wrapText="1"/>
    </xf>
    <xf numFmtId="0" fontId="12" fillId="16" borderId="21" xfId="0" applyFont="1" applyFill="1" applyBorder="1" applyAlignment="1">
      <alignment horizontal="center" vertical="center" wrapText="1"/>
    </xf>
    <xf numFmtId="0" fontId="12" fillId="18" borderId="23" xfId="0" applyFont="1" applyFill="1" applyBorder="1" applyAlignment="1">
      <alignment horizontal="center" vertical="center" wrapText="1"/>
    </xf>
    <xf numFmtId="0" fontId="12" fillId="17" borderId="12" xfId="0" applyFont="1" applyFill="1" applyBorder="1" applyAlignment="1">
      <alignment horizontal="center" vertical="center" wrapText="1"/>
    </xf>
    <xf numFmtId="165" fontId="4" fillId="0" borderId="8" xfId="0" applyNumberFormat="1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12" fillId="16" borderId="25" xfId="0" applyFont="1" applyFill="1" applyBorder="1" applyAlignment="1">
      <alignment horizontal="center" vertical="center" wrapText="1"/>
    </xf>
    <xf numFmtId="0" fontId="16" fillId="16" borderId="13" xfId="0" applyFont="1" applyFill="1" applyBorder="1" applyAlignment="1">
      <alignment horizontal="center" vertical="center" wrapText="1"/>
    </xf>
    <xf numFmtId="0" fontId="16" fillId="6" borderId="18" xfId="0" applyFont="1" applyFill="1" applyBorder="1" applyAlignment="1">
      <alignment horizontal="center" vertical="center" wrapText="1"/>
    </xf>
    <xf numFmtId="0" fontId="12" fillId="6" borderId="12" xfId="0" applyFont="1" applyFill="1" applyBorder="1" applyAlignment="1">
      <alignment horizontal="center" vertical="center" wrapText="1"/>
    </xf>
    <xf numFmtId="0" fontId="12" fillId="6" borderId="23" xfId="0" applyFont="1" applyFill="1" applyBorder="1" applyAlignment="1">
      <alignment horizontal="center" vertical="center" wrapText="1"/>
    </xf>
    <xf numFmtId="0" fontId="12" fillId="4" borderId="13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4" borderId="14" xfId="0" applyFont="1" applyFill="1" applyBorder="1" applyAlignment="1">
      <alignment horizontal="center" vertical="center" wrapText="1"/>
    </xf>
    <xf numFmtId="0" fontId="12" fillId="6" borderId="6" xfId="0" applyFont="1" applyFill="1" applyBorder="1" applyAlignment="1">
      <alignment horizontal="center" vertical="center" wrapText="1"/>
    </xf>
    <xf numFmtId="0" fontId="17" fillId="6" borderId="6" xfId="0" applyFont="1" applyFill="1" applyBorder="1" applyAlignment="1">
      <alignment horizontal="left" vertical="center" wrapText="1"/>
    </xf>
    <xf numFmtId="14" fontId="17" fillId="6" borderId="6" xfId="0" applyNumberFormat="1" applyFont="1" applyFill="1" applyBorder="1" applyAlignment="1">
      <alignment horizontal="center" vertical="center" wrapText="1"/>
    </xf>
    <xf numFmtId="2" fontId="16" fillId="6" borderId="6" xfId="0" applyNumberFormat="1" applyFont="1" applyFill="1" applyBorder="1" applyAlignment="1">
      <alignment horizontal="center" vertical="center" wrapText="1"/>
    </xf>
    <xf numFmtId="0" fontId="12" fillId="6" borderId="6" xfId="0" applyFont="1" applyFill="1" applyBorder="1" applyAlignment="1">
      <alignment horizontal="left" vertical="center" wrapText="1"/>
    </xf>
    <xf numFmtId="14" fontId="12" fillId="6" borderId="6" xfId="0" applyNumberFormat="1" applyFont="1" applyFill="1" applyBorder="1" applyAlignment="1">
      <alignment horizontal="center" vertical="center" wrapText="1"/>
    </xf>
    <xf numFmtId="0" fontId="17" fillId="6" borderId="6" xfId="0" applyFont="1" applyFill="1" applyBorder="1" applyAlignment="1">
      <alignment horizontal="left" vertical="center"/>
    </xf>
    <xf numFmtId="164" fontId="17" fillId="6" borderId="6" xfId="0" applyNumberFormat="1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left" vertical="center"/>
    </xf>
    <xf numFmtId="164" fontId="12" fillId="6" borderId="6" xfId="0" applyNumberFormat="1" applyFont="1" applyFill="1" applyBorder="1" applyAlignment="1">
      <alignment horizontal="center" vertical="center"/>
    </xf>
    <xf numFmtId="164" fontId="16" fillId="6" borderId="6" xfId="0" applyNumberFormat="1" applyFont="1" applyFill="1" applyBorder="1" applyAlignment="1">
      <alignment horizontal="center" vertical="center"/>
    </xf>
    <xf numFmtId="0" fontId="17" fillId="0" borderId="6" xfId="0" applyFont="1" applyBorder="1" applyAlignment="1">
      <alignment horizontal="left" vertical="center"/>
    </xf>
    <xf numFmtId="164" fontId="12" fillId="0" borderId="6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2" fontId="16" fillId="0" borderId="6" xfId="0" applyNumberFormat="1" applyFont="1" applyBorder="1" applyAlignment="1">
      <alignment horizontal="center" vertical="center" wrapText="1"/>
    </xf>
    <xf numFmtId="164" fontId="17" fillId="0" borderId="6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6" borderId="0" xfId="0" applyFill="1" applyAlignment="1">
      <alignment vertical="center"/>
    </xf>
    <xf numFmtId="0" fontId="12" fillId="13" borderId="6" xfId="0" applyFont="1" applyFill="1" applyBorder="1" applyAlignment="1">
      <alignment horizontal="center" vertical="center" wrapText="1"/>
    </xf>
    <xf numFmtId="0" fontId="12" fillId="17" borderId="6" xfId="0" applyFont="1" applyFill="1" applyBorder="1" applyAlignment="1">
      <alignment horizontal="center" vertical="center" wrapText="1"/>
    </xf>
    <xf numFmtId="0" fontId="12" fillId="21" borderId="6" xfId="0" applyFont="1" applyFill="1" applyBorder="1" applyAlignment="1">
      <alignment horizontal="center" vertical="center" wrapText="1"/>
    </xf>
    <xf numFmtId="0" fontId="12" fillId="22" borderId="6" xfId="0" applyFont="1" applyFill="1" applyBorder="1" applyAlignment="1">
      <alignment horizontal="center" vertical="center" wrapText="1"/>
    </xf>
    <xf numFmtId="0" fontId="12" fillId="16" borderId="6" xfId="0" applyFont="1" applyFill="1" applyBorder="1" applyAlignment="1">
      <alignment horizontal="center" vertical="center" wrapText="1"/>
    </xf>
    <xf numFmtId="0" fontId="12" fillId="16" borderId="6" xfId="0" applyFont="1" applyFill="1" applyBorder="1" applyAlignment="1">
      <alignment horizontal="center" vertical="center"/>
    </xf>
    <xf numFmtId="0" fontId="12" fillId="18" borderId="6" xfId="0" applyFont="1" applyFill="1" applyBorder="1" applyAlignment="1">
      <alignment horizontal="center" vertical="center" wrapText="1"/>
    </xf>
    <xf numFmtId="1" fontId="9" fillId="0" borderId="6" xfId="1" applyNumberFormat="1" applyFont="1" applyBorder="1" applyAlignment="1">
      <alignment horizontal="center" vertical="center" wrapText="1"/>
    </xf>
    <xf numFmtId="0" fontId="18" fillId="16" borderId="6" xfId="0" applyFont="1" applyFill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13" borderId="6" xfId="0" applyFont="1" applyFill="1" applyBorder="1" applyAlignment="1">
      <alignment horizontal="center" vertical="center" wrapText="1"/>
    </xf>
    <xf numFmtId="0" fontId="18" fillId="17" borderId="6" xfId="0" applyFont="1" applyFill="1" applyBorder="1" applyAlignment="1">
      <alignment horizontal="center" vertical="center" wrapText="1"/>
    </xf>
    <xf numFmtId="0" fontId="18" fillId="18" borderId="6" xfId="0" applyFont="1" applyFill="1" applyBorder="1" applyAlignment="1">
      <alignment horizontal="center" vertical="center" wrapText="1"/>
    </xf>
    <xf numFmtId="0" fontId="18" fillId="13" borderId="6" xfId="1" applyFont="1" applyFill="1" applyBorder="1" applyAlignment="1">
      <alignment horizontal="center" vertical="center" wrapText="1"/>
    </xf>
    <xf numFmtId="0" fontId="18" fillId="0" borderId="6" xfId="1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2" fontId="11" fillId="2" borderId="6" xfId="0" applyNumberFormat="1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9" xfId="0" applyBorder="1"/>
    <xf numFmtId="0" fontId="9" fillId="3" borderId="6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5" borderId="24" xfId="0" applyFont="1" applyFill="1" applyBorder="1" applyAlignment="1">
      <alignment horizontal="center" vertical="center" wrapText="1"/>
    </xf>
    <xf numFmtId="0" fontId="9" fillId="0" borderId="0" xfId="0" applyFont="1"/>
    <xf numFmtId="2" fontId="9" fillId="0" borderId="0" xfId="0" applyNumberFormat="1" applyFont="1"/>
    <xf numFmtId="0" fontId="0" fillId="0" borderId="19" xfId="0" applyBorder="1"/>
    <xf numFmtId="0" fontId="8" fillId="2" borderId="26" xfId="0" applyFont="1" applyFill="1" applyBorder="1" applyAlignment="1" applyProtection="1">
      <alignment horizontal="center" vertical="center" wrapText="1"/>
      <protection locked="0"/>
    </xf>
    <xf numFmtId="0" fontId="0" fillId="0" borderId="3" xfId="0" applyBorder="1" applyProtection="1">
      <protection locked="0"/>
    </xf>
    <xf numFmtId="0" fontId="0" fillId="0" borderId="30" xfId="0" applyBorder="1" applyProtection="1">
      <protection locked="0"/>
    </xf>
    <xf numFmtId="0" fontId="8" fillId="3" borderId="11" xfId="0" applyFont="1" applyFill="1" applyBorder="1" applyAlignment="1" applyProtection="1">
      <alignment horizontal="center" vertical="center" wrapText="1"/>
      <protection locked="0"/>
    </xf>
    <xf numFmtId="0" fontId="0" fillId="0" borderId="16" xfId="0" applyBorder="1" applyProtection="1">
      <protection locked="0"/>
    </xf>
    <xf numFmtId="0" fontId="0" fillId="0" borderId="18" xfId="0" applyBorder="1" applyProtection="1">
      <protection locked="0"/>
    </xf>
    <xf numFmtId="0" fontId="8" fillId="3" borderId="20" xfId="0" applyFont="1" applyFill="1" applyBorder="1" applyAlignment="1" applyProtection="1">
      <alignment horizontal="center" vertical="center" wrapText="1"/>
      <protection locked="0"/>
    </xf>
    <xf numFmtId="0" fontId="8" fillId="7" borderId="15" xfId="0" applyFont="1" applyFill="1" applyBorder="1" applyAlignment="1">
      <alignment horizontal="center" vertical="center"/>
    </xf>
    <xf numFmtId="0" fontId="0" fillId="0" borderId="16" xfId="0" applyBorder="1"/>
    <xf numFmtId="0" fontId="13" fillId="9" borderId="36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4" xfId="0" applyBorder="1"/>
    <xf numFmtId="0" fontId="8" fillId="7" borderId="11" xfId="0" applyFont="1" applyFill="1" applyBorder="1" applyAlignment="1">
      <alignment horizontal="center" vertical="center"/>
    </xf>
    <xf numFmtId="0" fontId="0" fillId="0" borderId="18" xfId="0" applyBorder="1"/>
    <xf numFmtId="0" fontId="8" fillId="7" borderId="12" xfId="0" applyFont="1" applyFill="1" applyBorder="1" applyAlignment="1">
      <alignment horizontal="center" vertical="center"/>
    </xf>
    <xf numFmtId="0" fontId="0" fillId="0" borderId="17" xfId="0" applyBorder="1"/>
    <xf numFmtId="0" fontId="8" fillId="2" borderId="37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 applyProtection="1">
      <protection locked="0"/>
    </xf>
    <xf numFmtId="0" fontId="0" fillId="0" borderId="2" xfId="0" applyBorder="1" applyProtection="1">
      <protection locked="0"/>
    </xf>
    <xf numFmtId="0" fontId="15" fillId="7" borderId="7" xfId="0" applyFont="1" applyFill="1" applyBorder="1" applyAlignment="1">
      <alignment horizontal="center" vertical="center"/>
    </xf>
    <xf numFmtId="0" fontId="0" fillId="0" borderId="3" xfId="0" applyBorder="1"/>
    <xf numFmtId="0" fontId="2" fillId="9" borderId="24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5" fillId="7" borderId="27" xfId="0" applyFont="1" applyFill="1" applyBorder="1" applyAlignment="1">
      <alignment horizontal="center" vertical="center"/>
    </xf>
    <xf numFmtId="0" fontId="0" fillId="0" borderId="30" xfId="0" applyBorder="1"/>
    <xf numFmtId="0" fontId="15" fillId="7" borderId="28" xfId="0" applyFont="1" applyFill="1" applyBorder="1" applyAlignment="1">
      <alignment horizontal="center" vertical="center"/>
    </xf>
    <xf numFmtId="0" fontId="0" fillId="0" borderId="5" xfId="0" applyBorder="1"/>
    <xf numFmtId="0" fontId="2" fillId="11" borderId="20" xfId="0" applyFont="1" applyFill="1" applyBorder="1" applyAlignment="1" applyProtection="1">
      <alignment horizontal="center" vertical="center"/>
      <protection locked="0"/>
    </xf>
    <xf numFmtId="0" fontId="2" fillId="12" borderId="24" xfId="0" applyFont="1" applyFill="1" applyBorder="1" applyAlignment="1">
      <alignment horizontal="center" vertical="center"/>
    </xf>
    <xf numFmtId="2" fontId="16" fillId="2" borderId="6" xfId="0" applyNumberFormat="1" applyFont="1" applyFill="1" applyBorder="1" applyAlignment="1">
      <alignment horizontal="center" vertical="center" wrapText="1"/>
    </xf>
    <xf numFmtId="0" fontId="15" fillId="5" borderId="39" xfId="0" applyFont="1" applyFill="1" applyBorder="1" applyAlignment="1">
      <alignment horizontal="center" vertical="center" wrapText="1"/>
    </xf>
    <xf numFmtId="0" fontId="0" fillId="0" borderId="35" xfId="0" applyBorder="1"/>
    <xf numFmtId="0" fontId="12" fillId="3" borderId="9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5" fillId="2" borderId="38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1"/>
  <sheetViews>
    <sheetView zoomScaleNormal="100" workbookViewId="0">
      <pane ySplit="3" topLeftCell="A4" activePane="bottomLeft" state="frozen"/>
      <selection pane="bottomLeft" activeCell="N5" sqref="N5"/>
    </sheetView>
  </sheetViews>
  <sheetFormatPr baseColWidth="10" defaultColWidth="11.453125" defaultRowHeight="9.5" x14ac:dyDescent="0.3"/>
  <cols>
    <col min="1" max="1" width="4" style="12" customWidth="1"/>
    <col min="2" max="2" width="25.7265625" style="12" customWidth="1"/>
    <col min="3" max="4" width="10.1796875" style="12" customWidth="1"/>
    <col min="5" max="5" width="7.453125" style="38" customWidth="1"/>
    <col min="6" max="6" width="8" style="38" customWidth="1"/>
    <col min="7" max="7" width="7.54296875" style="38" customWidth="1"/>
    <col min="8" max="8" width="9.453125" style="12" customWidth="1"/>
    <col min="9" max="10" width="9.7265625" style="12" customWidth="1"/>
    <col min="11" max="11" width="8.7265625" style="12" customWidth="1"/>
    <col min="12" max="12" width="9.26953125" style="12" customWidth="1"/>
    <col min="13" max="13" width="8" style="12" customWidth="1"/>
    <col min="14" max="14" width="8.26953125" style="12" customWidth="1"/>
    <col min="15" max="15" width="9.453125" style="12" customWidth="1"/>
    <col min="16" max="16" width="11.453125" style="12" customWidth="1"/>
    <col min="17" max="16384" width="11.453125" style="12"/>
  </cols>
  <sheetData>
    <row r="1" spans="1:16" s="11" customFormat="1" ht="9" customHeight="1" thickBot="1" x14ac:dyDescent="0.4">
      <c r="A1" s="289" t="s">
        <v>96</v>
      </c>
      <c r="B1" s="290"/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1"/>
      <c r="N1" s="120"/>
      <c r="O1" s="121"/>
    </row>
    <row r="2" spans="1:16" s="11" customFormat="1" ht="7.5" customHeight="1" x14ac:dyDescent="0.35">
      <c r="A2" s="295" t="s">
        <v>1</v>
      </c>
      <c r="B2" s="293"/>
      <c r="C2" s="293"/>
      <c r="D2" s="293"/>
      <c r="E2" s="293"/>
      <c r="F2" s="293"/>
      <c r="G2" s="294"/>
      <c r="H2" s="292" t="s">
        <v>97</v>
      </c>
      <c r="I2" s="293"/>
      <c r="J2" s="293"/>
      <c r="K2" s="294"/>
      <c r="L2" s="292" t="s">
        <v>98</v>
      </c>
      <c r="M2" s="293"/>
      <c r="N2" s="293"/>
      <c r="O2" s="294"/>
    </row>
    <row r="3" spans="1:16" ht="16.5" customHeight="1" thickBot="1" x14ac:dyDescent="0.35">
      <c r="A3" s="122" t="s">
        <v>4</v>
      </c>
      <c r="B3" s="123" t="s">
        <v>5</v>
      </c>
      <c r="C3" s="123" t="s">
        <v>6</v>
      </c>
      <c r="D3" s="123" t="s">
        <v>7</v>
      </c>
      <c r="E3" s="124" t="s">
        <v>8</v>
      </c>
      <c r="F3" s="124" t="s">
        <v>9</v>
      </c>
      <c r="G3" s="124" t="s">
        <v>10</v>
      </c>
      <c r="H3" s="123" t="s">
        <v>99</v>
      </c>
      <c r="I3" s="125" t="s">
        <v>11</v>
      </c>
      <c r="J3" s="123" t="s">
        <v>100</v>
      </c>
      <c r="K3" s="125" t="s">
        <v>10</v>
      </c>
      <c r="L3" s="123" t="s">
        <v>99</v>
      </c>
      <c r="M3" s="123" t="s">
        <v>11</v>
      </c>
      <c r="N3" s="123" t="s">
        <v>100</v>
      </c>
      <c r="O3" s="126" t="s">
        <v>10</v>
      </c>
    </row>
    <row r="4" spans="1:16" ht="10.5" customHeight="1" thickBot="1" x14ac:dyDescent="0.4">
      <c r="A4" s="285" t="s">
        <v>101</v>
      </c>
      <c r="B4" s="286"/>
      <c r="C4" s="286"/>
      <c r="D4" s="286"/>
      <c r="E4" s="287"/>
      <c r="F4" s="287"/>
      <c r="G4" s="287"/>
      <c r="H4" s="286"/>
      <c r="I4" s="286"/>
      <c r="J4" s="286"/>
      <c r="K4" s="286"/>
      <c r="L4" s="286"/>
      <c r="M4" s="286"/>
      <c r="N4" s="286"/>
      <c r="O4" s="288"/>
    </row>
    <row r="5" spans="1:16" ht="15" customHeight="1" thickBot="1" x14ac:dyDescent="0.35">
      <c r="A5" s="68">
        <v>1</v>
      </c>
      <c r="B5" s="69" t="s">
        <v>102</v>
      </c>
      <c r="C5" s="70">
        <v>45181</v>
      </c>
      <c r="D5" s="71" t="s">
        <v>103</v>
      </c>
      <c r="E5" s="72">
        <v>14.3</v>
      </c>
      <c r="F5" s="72">
        <v>86.2</v>
      </c>
      <c r="G5" s="73">
        <f t="shared" ref="G5:G11" si="0">E5/(F5/100)^2</f>
        <v>19.245159102287349</v>
      </c>
      <c r="H5" s="112" t="s">
        <v>104</v>
      </c>
      <c r="I5" s="59" t="s">
        <v>79</v>
      </c>
      <c r="J5" s="59" t="s">
        <v>104</v>
      </c>
      <c r="K5" s="112" t="s">
        <v>104</v>
      </c>
      <c r="L5" s="116" t="s">
        <v>104</v>
      </c>
      <c r="M5" s="59" t="s">
        <v>65</v>
      </c>
      <c r="N5" s="107" t="s">
        <v>105</v>
      </c>
      <c r="O5" s="65" t="s">
        <v>106</v>
      </c>
    </row>
    <row r="6" spans="1:16" ht="15" customHeight="1" x14ac:dyDescent="0.3">
      <c r="A6" s="44">
        <v>2</v>
      </c>
      <c r="B6" s="13" t="s">
        <v>107</v>
      </c>
      <c r="C6" s="19">
        <v>45495</v>
      </c>
      <c r="D6" s="15" t="s">
        <v>108</v>
      </c>
      <c r="E6" s="16">
        <v>13.95</v>
      </c>
      <c r="F6" s="16">
        <v>81</v>
      </c>
      <c r="G6" s="74">
        <f t="shared" si="0"/>
        <v>21.262002743484221</v>
      </c>
      <c r="H6" s="112" t="s">
        <v>104</v>
      </c>
      <c r="I6" s="100" t="s">
        <v>20</v>
      </c>
      <c r="J6" s="127" t="s">
        <v>109</v>
      </c>
      <c r="K6" s="127" t="s">
        <v>109</v>
      </c>
      <c r="L6" s="117" t="s">
        <v>104</v>
      </c>
      <c r="M6" s="17" t="s">
        <v>65</v>
      </c>
      <c r="N6" s="118" t="s">
        <v>104</v>
      </c>
      <c r="O6" s="45" t="s">
        <v>106</v>
      </c>
      <c r="P6" s="42"/>
    </row>
    <row r="7" spans="1:16" ht="15" customHeight="1" x14ac:dyDescent="0.3">
      <c r="A7" s="44">
        <v>3</v>
      </c>
      <c r="B7" s="20" t="s">
        <v>110</v>
      </c>
      <c r="C7" s="14">
        <v>45654</v>
      </c>
      <c r="D7" s="15" t="s">
        <v>111</v>
      </c>
      <c r="E7" s="16">
        <v>9.4499999999999993</v>
      </c>
      <c r="F7" s="16">
        <v>70.8</v>
      </c>
      <c r="G7" s="74">
        <f t="shared" si="0"/>
        <v>18.852341281241024</v>
      </c>
      <c r="H7" s="60" t="s">
        <v>65</v>
      </c>
      <c r="I7" s="17" t="s">
        <v>65</v>
      </c>
      <c r="J7" s="106" t="s">
        <v>112</v>
      </c>
      <c r="K7" s="108" t="s">
        <v>113</v>
      </c>
      <c r="L7" s="60" t="s">
        <v>65</v>
      </c>
      <c r="M7" s="17" t="s">
        <v>65</v>
      </c>
      <c r="N7" s="18" t="s">
        <v>65</v>
      </c>
      <c r="O7" s="45" t="s">
        <v>106</v>
      </c>
    </row>
    <row r="8" spans="1:16" ht="15" customHeight="1" x14ac:dyDescent="0.3">
      <c r="A8" s="44">
        <v>4</v>
      </c>
      <c r="B8" s="13" t="s">
        <v>114</v>
      </c>
      <c r="C8" s="19">
        <v>45669</v>
      </c>
      <c r="D8" s="15" t="s">
        <v>115</v>
      </c>
      <c r="E8" s="16">
        <v>9.4499999999999993</v>
      </c>
      <c r="F8" s="16">
        <v>75</v>
      </c>
      <c r="G8" s="74">
        <f t="shared" si="0"/>
        <v>16.799999999999997</v>
      </c>
      <c r="H8" s="60" t="s">
        <v>65</v>
      </c>
      <c r="I8" s="17" t="s">
        <v>65</v>
      </c>
      <c r="J8" s="17" t="s">
        <v>65</v>
      </c>
      <c r="K8" s="61" t="s">
        <v>65</v>
      </c>
      <c r="L8" s="60" t="s">
        <v>65</v>
      </c>
      <c r="M8" s="17" t="s">
        <v>65</v>
      </c>
      <c r="N8" s="18" t="s">
        <v>65</v>
      </c>
      <c r="O8" s="45" t="s">
        <v>106</v>
      </c>
    </row>
    <row r="9" spans="1:16" ht="15" customHeight="1" x14ac:dyDescent="0.3">
      <c r="A9" s="46">
        <v>5</v>
      </c>
      <c r="B9" s="13" t="s">
        <v>116</v>
      </c>
      <c r="C9" s="19">
        <v>45805</v>
      </c>
      <c r="D9" s="21" t="s">
        <v>117</v>
      </c>
      <c r="E9" s="22">
        <v>8.25</v>
      </c>
      <c r="F9" s="22">
        <v>70.3</v>
      </c>
      <c r="G9" s="74">
        <f t="shared" si="0"/>
        <v>16.6933422904075</v>
      </c>
      <c r="H9" s="60" t="s">
        <v>65</v>
      </c>
      <c r="I9" s="17" t="s">
        <v>65</v>
      </c>
      <c r="J9" s="17" t="s">
        <v>65</v>
      </c>
      <c r="K9" s="61" t="s">
        <v>65</v>
      </c>
      <c r="L9" s="60" t="s">
        <v>65</v>
      </c>
      <c r="M9" s="17" t="s">
        <v>65</v>
      </c>
      <c r="N9" s="18" t="s">
        <v>65</v>
      </c>
      <c r="O9" s="45" t="s">
        <v>106</v>
      </c>
    </row>
    <row r="10" spans="1:16" ht="15" customHeight="1" thickBot="1" x14ac:dyDescent="0.35">
      <c r="A10" s="46">
        <v>6</v>
      </c>
      <c r="B10" s="13" t="s">
        <v>118</v>
      </c>
      <c r="C10" s="19">
        <v>44932</v>
      </c>
      <c r="D10" s="21" t="s">
        <v>119</v>
      </c>
      <c r="E10" s="22">
        <v>13.4</v>
      </c>
      <c r="F10" s="22">
        <v>88.3</v>
      </c>
      <c r="G10" s="74">
        <f t="shared" si="0"/>
        <v>17.186339681590994</v>
      </c>
      <c r="H10" s="60" t="s">
        <v>65</v>
      </c>
      <c r="I10" s="103" t="s">
        <v>120</v>
      </c>
      <c r="J10" s="17" t="s">
        <v>65</v>
      </c>
      <c r="K10" s="108" t="s">
        <v>113</v>
      </c>
      <c r="L10" s="60" t="s">
        <v>65</v>
      </c>
      <c r="M10" s="100" t="s">
        <v>20</v>
      </c>
      <c r="N10" s="18" t="s">
        <v>65</v>
      </c>
      <c r="O10" s="45" t="s">
        <v>106</v>
      </c>
      <c r="P10" s="23" t="s">
        <v>121</v>
      </c>
    </row>
    <row r="11" spans="1:16" ht="15" customHeight="1" thickBot="1" x14ac:dyDescent="0.35">
      <c r="A11" s="75">
        <v>6</v>
      </c>
      <c r="B11" s="76" t="s">
        <v>122</v>
      </c>
      <c r="C11" s="53">
        <v>45661</v>
      </c>
      <c r="D11" s="77" t="s">
        <v>111</v>
      </c>
      <c r="E11" s="78">
        <v>7.65</v>
      </c>
      <c r="F11" s="78">
        <v>72.2</v>
      </c>
      <c r="G11" s="79">
        <f t="shared" si="0"/>
        <v>14.675301754897523</v>
      </c>
      <c r="H11" s="62" t="s">
        <v>65</v>
      </c>
      <c r="I11" s="63" t="s">
        <v>65</v>
      </c>
      <c r="J11" s="63" t="s">
        <v>65</v>
      </c>
      <c r="K11" s="119" t="s">
        <v>123</v>
      </c>
      <c r="L11" s="62" t="s">
        <v>65</v>
      </c>
      <c r="M11" s="63" t="s">
        <v>65</v>
      </c>
      <c r="N11" s="66" t="s">
        <v>65</v>
      </c>
      <c r="O11" s="67" t="s">
        <v>106</v>
      </c>
    </row>
    <row r="12" spans="1:16" ht="10.5" customHeight="1" thickBot="1" x14ac:dyDescent="0.4">
      <c r="A12" s="285" t="s">
        <v>124</v>
      </c>
      <c r="B12" s="286"/>
      <c r="C12" s="286"/>
      <c r="D12" s="286"/>
      <c r="E12" s="287"/>
      <c r="F12" s="287"/>
      <c r="G12" s="287"/>
      <c r="H12" s="286"/>
      <c r="I12" s="286"/>
      <c r="J12" s="286"/>
      <c r="K12" s="286"/>
      <c r="L12" s="286"/>
      <c r="M12" s="286"/>
      <c r="N12" s="286"/>
      <c r="O12" s="288"/>
    </row>
    <row r="13" spans="1:16" ht="23.25" customHeight="1" x14ac:dyDescent="0.3">
      <c r="A13" s="68">
        <v>1</v>
      </c>
      <c r="B13" s="69" t="s">
        <v>125</v>
      </c>
      <c r="C13" s="80">
        <v>44425</v>
      </c>
      <c r="D13" s="71" t="s">
        <v>126</v>
      </c>
      <c r="E13" s="81">
        <v>12.05</v>
      </c>
      <c r="F13" s="81">
        <v>91.1</v>
      </c>
      <c r="G13" s="73">
        <f t="shared" ref="G13:G19" si="1">E13/(F13/100)^2</f>
        <v>14.519454261309212</v>
      </c>
      <c r="H13" s="119" t="s">
        <v>123</v>
      </c>
      <c r="I13" s="105" t="s">
        <v>127</v>
      </c>
      <c r="J13" s="119" t="s">
        <v>123</v>
      </c>
      <c r="K13" s="86" t="s">
        <v>65</v>
      </c>
      <c r="L13" s="128" t="s">
        <v>128</v>
      </c>
      <c r="M13" s="105" t="s">
        <v>127</v>
      </c>
      <c r="N13" s="85" t="s">
        <v>65</v>
      </c>
      <c r="O13" s="86" t="s">
        <v>106</v>
      </c>
    </row>
    <row r="14" spans="1:16" ht="15" customHeight="1" x14ac:dyDescent="0.3">
      <c r="A14" s="44">
        <v>2</v>
      </c>
      <c r="B14" s="13" t="s">
        <v>129</v>
      </c>
      <c r="C14" s="26">
        <v>44530</v>
      </c>
      <c r="D14" s="15" t="s">
        <v>130</v>
      </c>
      <c r="E14" s="24">
        <v>16.149999999999999</v>
      </c>
      <c r="F14" s="24">
        <v>105.5</v>
      </c>
      <c r="G14" s="74">
        <f t="shared" si="1"/>
        <v>14.510006513780013</v>
      </c>
      <c r="H14" s="48" t="s">
        <v>65</v>
      </c>
      <c r="I14" s="25" t="s">
        <v>65</v>
      </c>
      <c r="J14" s="25" t="s">
        <v>65</v>
      </c>
      <c r="K14" s="47" t="s">
        <v>65</v>
      </c>
      <c r="L14" s="49" t="s">
        <v>65</v>
      </c>
      <c r="M14" s="25" t="s">
        <v>65</v>
      </c>
      <c r="N14" s="25" t="s">
        <v>65</v>
      </c>
      <c r="O14" s="47" t="s">
        <v>106</v>
      </c>
    </row>
    <row r="15" spans="1:16" ht="15" customHeight="1" x14ac:dyDescent="0.3">
      <c r="A15" s="48">
        <v>3</v>
      </c>
      <c r="B15" s="13" t="s">
        <v>131</v>
      </c>
      <c r="C15" s="19">
        <v>44935</v>
      </c>
      <c r="D15" s="15" t="s">
        <v>119</v>
      </c>
      <c r="E15" s="24">
        <v>14.1</v>
      </c>
      <c r="F15" s="24">
        <v>91.4</v>
      </c>
      <c r="G15" s="74">
        <f t="shared" si="1"/>
        <v>16.878223022375018</v>
      </c>
      <c r="H15" s="48" t="s">
        <v>65</v>
      </c>
      <c r="I15" s="101" t="s">
        <v>20</v>
      </c>
      <c r="J15" s="107" t="s">
        <v>132</v>
      </c>
      <c r="K15" s="47" t="s">
        <v>65</v>
      </c>
      <c r="L15" s="49" t="s">
        <v>65</v>
      </c>
      <c r="M15" s="101" t="s">
        <v>20</v>
      </c>
      <c r="N15" s="25" t="s">
        <v>65</v>
      </c>
      <c r="O15" s="47" t="s">
        <v>106</v>
      </c>
    </row>
    <row r="16" spans="1:16" ht="15" customHeight="1" x14ac:dyDescent="0.3">
      <c r="A16" s="48">
        <v>4</v>
      </c>
      <c r="B16" s="13" t="s">
        <v>133</v>
      </c>
      <c r="C16" s="19">
        <v>44994</v>
      </c>
      <c r="D16" s="15" t="s">
        <v>134</v>
      </c>
      <c r="E16" s="24">
        <v>13.7</v>
      </c>
      <c r="F16" s="24">
        <v>90.5</v>
      </c>
      <c r="G16" s="74">
        <f t="shared" si="1"/>
        <v>16.727206129239033</v>
      </c>
      <c r="H16" s="48" t="s">
        <v>65</v>
      </c>
      <c r="I16" s="25" t="s">
        <v>65</v>
      </c>
      <c r="J16" s="25" t="s">
        <v>65</v>
      </c>
      <c r="K16" s="47" t="s">
        <v>65</v>
      </c>
      <c r="L16" s="49" t="s">
        <v>65</v>
      </c>
      <c r="M16" s="25" t="s">
        <v>65</v>
      </c>
      <c r="N16" s="25" t="s">
        <v>65</v>
      </c>
      <c r="O16" s="47" t="s">
        <v>106</v>
      </c>
    </row>
    <row r="17" spans="1:23" ht="15" customHeight="1" thickBot="1" x14ac:dyDescent="0.35">
      <c r="A17" s="48">
        <v>5</v>
      </c>
      <c r="B17" s="27" t="s">
        <v>135</v>
      </c>
      <c r="C17" s="19">
        <v>44553</v>
      </c>
      <c r="D17" s="15" t="s">
        <v>136</v>
      </c>
      <c r="E17" s="24">
        <v>17.25</v>
      </c>
      <c r="F17" s="24">
        <v>95.3</v>
      </c>
      <c r="G17" s="74">
        <f t="shared" si="1"/>
        <v>18.993425522098988</v>
      </c>
      <c r="H17" s="48" t="s">
        <v>65</v>
      </c>
      <c r="I17" s="101" t="s">
        <v>20</v>
      </c>
      <c r="J17" s="111" t="s">
        <v>104</v>
      </c>
      <c r="K17" s="113" t="s">
        <v>104</v>
      </c>
      <c r="L17" s="49" t="s">
        <v>65</v>
      </c>
      <c r="M17" s="101" t="s">
        <v>20</v>
      </c>
      <c r="N17" s="114" t="s">
        <v>104</v>
      </c>
      <c r="O17" s="47" t="s">
        <v>106</v>
      </c>
    </row>
    <row r="18" spans="1:23" ht="15" customHeight="1" x14ac:dyDescent="0.3">
      <c r="A18" s="48">
        <v>6</v>
      </c>
      <c r="B18" s="20" t="s">
        <v>137</v>
      </c>
      <c r="C18" s="19">
        <v>44711</v>
      </c>
      <c r="D18" s="15" t="s">
        <v>138</v>
      </c>
      <c r="E18" s="24">
        <v>14.1</v>
      </c>
      <c r="F18" s="24">
        <v>94.4</v>
      </c>
      <c r="G18" s="74">
        <f t="shared" si="1"/>
        <v>15.822500718184427</v>
      </c>
      <c r="H18" s="48" t="s">
        <v>65</v>
      </c>
      <c r="I18" s="25" t="s">
        <v>65</v>
      </c>
      <c r="J18" s="25" t="s">
        <v>65</v>
      </c>
      <c r="K18" s="47" t="s">
        <v>65</v>
      </c>
      <c r="L18" s="49" t="s">
        <v>139</v>
      </c>
      <c r="M18" s="39" t="s">
        <v>65</v>
      </c>
      <c r="N18" s="25" t="s">
        <v>65</v>
      </c>
      <c r="O18" s="47" t="s">
        <v>106</v>
      </c>
    </row>
    <row r="19" spans="1:23" ht="15" customHeight="1" thickBot="1" x14ac:dyDescent="0.35">
      <c r="A19" s="82">
        <v>7</v>
      </c>
      <c r="B19" s="76" t="s">
        <v>140</v>
      </c>
      <c r="C19" s="53">
        <v>44681</v>
      </c>
      <c r="D19" s="56" t="s">
        <v>141</v>
      </c>
      <c r="E19" s="83">
        <v>18.55</v>
      </c>
      <c r="F19" s="83">
        <v>98</v>
      </c>
      <c r="G19" s="79">
        <f t="shared" si="1"/>
        <v>19.314868804664727</v>
      </c>
      <c r="H19" s="110" t="s">
        <v>113</v>
      </c>
      <c r="I19" s="58" t="s">
        <v>65</v>
      </c>
      <c r="J19" s="114" t="s">
        <v>104</v>
      </c>
      <c r="K19" s="114" t="s">
        <v>104</v>
      </c>
      <c r="L19" s="89" t="s">
        <v>65</v>
      </c>
      <c r="M19" s="58" t="s">
        <v>65</v>
      </c>
      <c r="N19" s="114" t="s">
        <v>104</v>
      </c>
      <c r="O19" s="87" t="s">
        <v>106</v>
      </c>
    </row>
    <row r="20" spans="1:23" ht="10.5" customHeight="1" thickBot="1" x14ac:dyDescent="0.4">
      <c r="A20" s="285" t="s">
        <v>142</v>
      </c>
      <c r="B20" s="286"/>
      <c r="C20" s="286"/>
      <c r="D20" s="286"/>
      <c r="E20" s="287"/>
      <c r="F20" s="287"/>
      <c r="G20" s="287"/>
      <c r="H20" s="286"/>
      <c r="I20" s="286"/>
      <c r="J20" s="286"/>
      <c r="K20" s="286"/>
      <c r="L20" s="286"/>
      <c r="M20" s="286"/>
      <c r="N20" s="286"/>
      <c r="O20" s="288"/>
    </row>
    <row r="21" spans="1:23" ht="15" customHeight="1" x14ac:dyDescent="0.3">
      <c r="A21" s="84">
        <v>1</v>
      </c>
      <c r="B21" s="90" t="s">
        <v>143</v>
      </c>
      <c r="C21" s="70">
        <v>44364</v>
      </c>
      <c r="D21" s="71" t="s">
        <v>144</v>
      </c>
      <c r="E21" s="81">
        <v>17.3</v>
      </c>
      <c r="F21" s="81">
        <v>103.5</v>
      </c>
      <c r="G21" s="73">
        <f t="shared" ref="G21:G26" si="2">E21/(F21/100)^2</f>
        <v>16.149735116338775</v>
      </c>
      <c r="H21" s="84" t="s">
        <v>65</v>
      </c>
      <c r="I21" s="85" t="s">
        <v>65</v>
      </c>
      <c r="J21" s="85" t="s">
        <v>106</v>
      </c>
      <c r="K21" s="86" t="s">
        <v>65</v>
      </c>
      <c r="L21" s="88" t="s">
        <v>65</v>
      </c>
      <c r="M21" s="85" t="s">
        <v>65</v>
      </c>
      <c r="N21" s="85" t="s">
        <v>65</v>
      </c>
      <c r="O21" s="86" t="s">
        <v>106</v>
      </c>
      <c r="P21" s="28"/>
      <c r="Q21" s="28"/>
      <c r="R21" s="28"/>
      <c r="S21" s="28"/>
      <c r="T21" s="28"/>
      <c r="U21" s="28"/>
      <c r="V21" s="28"/>
    </row>
    <row r="22" spans="1:23" s="29" customFormat="1" ht="15" customHeight="1" x14ac:dyDescent="0.3">
      <c r="A22" s="48">
        <v>2</v>
      </c>
      <c r="B22" s="20" t="s">
        <v>145</v>
      </c>
      <c r="C22" s="14">
        <v>44152</v>
      </c>
      <c r="D22" s="15" t="s">
        <v>146</v>
      </c>
      <c r="E22" s="24">
        <v>19.75</v>
      </c>
      <c r="F22" s="24">
        <v>109.6</v>
      </c>
      <c r="G22" s="74">
        <f t="shared" si="2"/>
        <v>16.44167243859556</v>
      </c>
      <c r="H22" s="48" t="s">
        <v>65</v>
      </c>
      <c r="I22" s="25" t="s">
        <v>65</v>
      </c>
      <c r="J22" s="25" t="s">
        <v>106</v>
      </c>
      <c r="K22" s="47" t="s">
        <v>65</v>
      </c>
      <c r="L22" s="49" t="s">
        <v>106</v>
      </c>
      <c r="M22" s="25" t="s">
        <v>65</v>
      </c>
      <c r="N22" s="25" t="s">
        <v>106</v>
      </c>
      <c r="O22" s="47" t="s">
        <v>65</v>
      </c>
      <c r="P22" s="28"/>
      <c r="Q22" s="28"/>
      <c r="R22" s="28"/>
      <c r="S22" s="28"/>
      <c r="T22" s="28"/>
      <c r="U22" s="28"/>
      <c r="V22" s="28"/>
      <c r="W22" s="28"/>
    </row>
    <row r="23" spans="1:23" ht="15" customHeight="1" thickBot="1" x14ac:dyDescent="0.35">
      <c r="A23" s="48">
        <v>3</v>
      </c>
      <c r="B23" s="13" t="s">
        <v>147</v>
      </c>
      <c r="C23" s="19">
        <v>44372</v>
      </c>
      <c r="D23" s="15" t="s">
        <v>148</v>
      </c>
      <c r="E23" s="24">
        <v>20.7</v>
      </c>
      <c r="F23" s="24">
        <v>104.3</v>
      </c>
      <c r="G23" s="74">
        <f t="shared" si="2"/>
        <v>19.028376180885402</v>
      </c>
      <c r="H23" s="110" t="s">
        <v>113</v>
      </c>
      <c r="I23" s="25" t="s">
        <v>65</v>
      </c>
      <c r="J23" s="25" t="s">
        <v>106</v>
      </c>
      <c r="K23" s="113" t="s">
        <v>104</v>
      </c>
      <c r="L23" s="49" t="s">
        <v>65</v>
      </c>
      <c r="M23" s="25" t="s">
        <v>65</v>
      </c>
      <c r="N23" s="107" t="s">
        <v>105</v>
      </c>
      <c r="O23" s="47" t="s">
        <v>106</v>
      </c>
    </row>
    <row r="24" spans="1:23" ht="15" customHeight="1" x14ac:dyDescent="0.3">
      <c r="A24" s="49">
        <v>4</v>
      </c>
      <c r="B24" s="30" t="s">
        <v>149</v>
      </c>
      <c r="C24" s="26">
        <v>44525</v>
      </c>
      <c r="D24" s="15" t="s">
        <v>150</v>
      </c>
      <c r="E24" s="24">
        <v>16.149999999999999</v>
      </c>
      <c r="F24" s="24">
        <v>98.8</v>
      </c>
      <c r="G24" s="74">
        <f t="shared" si="2"/>
        <v>16.544690127686078</v>
      </c>
      <c r="H24" s="48" t="s">
        <v>65</v>
      </c>
      <c r="I24" s="25" t="s">
        <v>65</v>
      </c>
      <c r="J24" s="25" t="s">
        <v>106</v>
      </c>
      <c r="K24" s="47" t="s">
        <v>65</v>
      </c>
      <c r="L24" s="49" t="s">
        <v>65</v>
      </c>
      <c r="M24" s="17" t="s">
        <v>65</v>
      </c>
      <c r="N24" s="25" t="s">
        <v>65</v>
      </c>
      <c r="O24" s="47" t="s">
        <v>106</v>
      </c>
    </row>
    <row r="25" spans="1:23" ht="15" customHeight="1" x14ac:dyDescent="0.3">
      <c r="A25" s="48">
        <v>5</v>
      </c>
      <c r="B25" s="13" t="s">
        <v>151</v>
      </c>
      <c r="C25" s="31">
        <v>44349</v>
      </c>
      <c r="D25" s="15" t="s">
        <v>152</v>
      </c>
      <c r="E25" s="24">
        <v>15.9</v>
      </c>
      <c r="F25" s="24">
        <v>96.3</v>
      </c>
      <c r="G25" s="74">
        <f t="shared" si="2"/>
        <v>17.145278740177861</v>
      </c>
      <c r="H25" s="48" t="s">
        <v>65</v>
      </c>
      <c r="I25" s="104" t="s">
        <v>16</v>
      </c>
      <c r="J25" s="25" t="s">
        <v>106</v>
      </c>
      <c r="K25" s="109" t="s">
        <v>113</v>
      </c>
      <c r="L25" s="49" t="s">
        <v>65</v>
      </c>
      <c r="M25" s="25" t="s">
        <v>65</v>
      </c>
      <c r="N25" s="25" t="s">
        <v>65</v>
      </c>
      <c r="O25" s="47" t="s">
        <v>106</v>
      </c>
    </row>
    <row r="26" spans="1:23" ht="15" customHeight="1" thickBot="1" x14ac:dyDescent="0.35">
      <c r="A26" s="82">
        <v>6</v>
      </c>
      <c r="B26" s="52" t="s">
        <v>153</v>
      </c>
      <c r="C26" s="91">
        <v>44107</v>
      </c>
      <c r="D26" s="56" t="s">
        <v>154</v>
      </c>
      <c r="E26" s="83">
        <v>17.8</v>
      </c>
      <c r="F26" s="83">
        <v>100.8</v>
      </c>
      <c r="G26" s="79">
        <f t="shared" si="2"/>
        <v>17.518581506676743</v>
      </c>
      <c r="H26" s="82" t="s">
        <v>65</v>
      </c>
      <c r="I26" s="58" t="s">
        <v>65</v>
      </c>
      <c r="J26" s="58" t="s">
        <v>106</v>
      </c>
      <c r="K26" s="110" t="s">
        <v>113</v>
      </c>
      <c r="L26" s="89" t="s">
        <v>106</v>
      </c>
      <c r="M26" s="58" t="s">
        <v>65</v>
      </c>
      <c r="N26" s="58" t="s">
        <v>65</v>
      </c>
      <c r="O26" s="87" t="s">
        <v>65</v>
      </c>
    </row>
    <row r="27" spans="1:23" ht="9" customHeight="1" thickBot="1" x14ac:dyDescent="0.4">
      <c r="A27" s="285" t="s">
        <v>155</v>
      </c>
      <c r="B27" s="286"/>
      <c r="C27" s="286"/>
      <c r="D27" s="286"/>
      <c r="E27" s="287"/>
      <c r="F27" s="287"/>
      <c r="G27" s="287"/>
      <c r="H27" s="286"/>
      <c r="I27" s="286"/>
      <c r="J27" s="286"/>
      <c r="K27" s="286"/>
      <c r="L27" s="286"/>
      <c r="M27" s="286"/>
      <c r="N27" s="286"/>
      <c r="O27" s="288"/>
    </row>
    <row r="28" spans="1:23" ht="15" customHeight="1" thickBot="1" x14ac:dyDescent="0.35">
      <c r="A28" s="84">
        <v>1</v>
      </c>
      <c r="B28" s="92" t="s">
        <v>156</v>
      </c>
      <c r="C28" s="93">
        <v>43641</v>
      </c>
      <c r="D28" s="71" t="s">
        <v>157</v>
      </c>
      <c r="E28" s="81">
        <v>25.4</v>
      </c>
      <c r="F28" s="81">
        <v>115.5</v>
      </c>
      <c r="G28" s="73">
        <f t="shared" ref="G28:G34" si="3">E28/(F28/100)^2</f>
        <v>19.04012293622683</v>
      </c>
      <c r="H28" s="115" t="s">
        <v>104</v>
      </c>
      <c r="I28" s="71" t="s">
        <v>79</v>
      </c>
      <c r="J28" s="64" t="s">
        <v>106</v>
      </c>
      <c r="K28" s="115" t="s">
        <v>104</v>
      </c>
      <c r="L28" s="84" t="s">
        <v>106</v>
      </c>
      <c r="M28" s="71" t="s">
        <v>65</v>
      </c>
      <c r="N28" s="71" t="s">
        <v>106</v>
      </c>
      <c r="O28" s="115" t="s">
        <v>104</v>
      </c>
      <c r="P28" s="43"/>
    </row>
    <row r="29" spans="1:23" ht="15" customHeight="1" x14ac:dyDescent="0.3">
      <c r="A29" s="48">
        <v>2</v>
      </c>
      <c r="B29" s="32" t="s">
        <v>158</v>
      </c>
      <c r="C29" s="33">
        <v>43843</v>
      </c>
      <c r="D29" s="25" t="s">
        <v>159</v>
      </c>
      <c r="E29" s="34">
        <v>24.6</v>
      </c>
      <c r="F29" s="34">
        <v>115.5</v>
      </c>
      <c r="G29" s="94">
        <f t="shared" si="3"/>
        <v>18.440434024849608</v>
      </c>
      <c r="H29" s="115" t="s">
        <v>104</v>
      </c>
      <c r="I29" s="25" t="s">
        <v>79</v>
      </c>
      <c r="J29" s="17" t="s">
        <v>106</v>
      </c>
      <c r="K29" s="109" t="s">
        <v>113</v>
      </c>
      <c r="L29" s="49" t="s">
        <v>106</v>
      </c>
      <c r="M29" s="25" t="s">
        <v>65</v>
      </c>
      <c r="N29" s="25" t="s">
        <v>106</v>
      </c>
      <c r="O29" s="109" t="s">
        <v>21</v>
      </c>
    </row>
    <row r="30" spans="1:23" ht="15" customHeight="1" x14ac:dyDescent="0.3">
      <c r="A30" s="48">
        <v>3</v>
      </c>
      <c r="B30" s="32" t="s">
        <v>160</v>
      </c>
      <c r="C30" s="33">
        <v>43843</v>
      </c>
      <c r="D30" s="25" t="s">
        <v>161</v>
      </c>
      <c r="E30" s="34">
        <v>23.3</v>
      </c>
      <c r="F30" s="34">
        <v>114.7</v>
      </c>
      <c r="G30" s="94">
        <f t="shared" si="3"/>
        <v>17.710429162463925</v>
      </c>
      <c r="H30" s="49" t="s">
        <v>65</v>
      </c>
      <c r="I30" s="25" t="s">
        <v>79</v>
      </c>
      <c r="J30" s="17" t="s">
        <v>106</v>
      </c>
      <c r="K30" s="109" t="s">
        <v>113</v>
      </c>
      <c r="L30" s="49" t="s">
        <v>106</v>
      </c>
      <c r="M30" s="25" t="s">
        <v>17</v>
      </c>
      <c r="N30" s="25" t="s">
        <v>106</v>
      </c>
      <c r="O30" s="109" t="s">
        <v>21</v>
      </c>
    </row>
    <row r="31" spans="1:23" ht="15" customHeight="1" x14ac:dyDescent="0.3">
      <c r="A31" s="49">
        <v>5</v>
      </c>
      <c r="B31" s="35" t="s">
        <v>162</v>
      </c>
      <c r="C31" s="36">
        <v>43691</v>
      </c>
      <c r="D31" s="25" t="s">
        <v>163</v>
      </c>
      <c r="E31" s="34">
        <v>23.85</v>
      </c>
      <c r="F31" s="34">
        <v>104.7</v>
      </c>
      <c r="G31" s="94">
        <f t="shared" si="3"/>
        <v>21.756800026272369</v>
      </c>
      <c r="H31" s="49" t="s">
        <v>65</v>
      </c>
      <c r="I31" s="25" t="s">
        <v>65</v>
      </c>
      <c r="J31" s="17" t="s">
        <v>106</v>
      </c>
      <c r="K31" s="47" t="s">
        <v>164</v>
      </c>
      <c r="L31" s="49" t="s">
        <v>106</v>
      </c>
      <c r="M31" s="104" t="s">
        <v>16</v>
      </c>
      <c r="N31" s="25" t="s">
        <v>106</v>
      </c>
      <c r="O31" s="113" t="s">
        <v>29</v>
      </c>
    </row>
    <row r="32" spans="1:23" ht="15" customHeight="1" x14ac:dyDescent="0.3">
      <c r="A32" s="48">
        <v>6</v>
      </c>
      <c r="B32" s="35" t="s">
        <v>165</v>
      </c>
      <c r="C32" s="37">
        <v>43809</v>
      </c>
      <c r="D32" s="25" t="s">
        <v>166</v>
      </c>
      <c r="E32" s="34">
        <v>21.25</v>
      </c>
      <c r="F32" s="34">
        <v>115.1</v>
      </c>
      <c r="G32" s="94">
        <f t="shared" si="3"/>
        <v>16.04014489723362</v>
      </c>
      <c r="H32" s="49" t="s">
        <v>65</v>
      </c>
      <c r="I32" s="25" t="s">
        <v>65</v>
      </c>
      <c r="J32" s="17" t="s">
        <v>106</v>
      </c>
      <c r="K32" s="47" t="s">
        <v>65</v>
      </c>
      <c r="L32" s="49" t="s">
        <v>106</v>
      </c>
      <c r="M32" s="25" t="s">
        <v>17</v>
      </c>
      <c r="N32" s="25" t="s">
        <v>106</v>
      </c>
      <c r="O32" s="47" t="s">
        <v>17</v>
      </c>
    </row>
    <row r="33" spans="1:15" ht="15" customHeight="1" x14ac:dyDescent="0.3">
      <c r="A33" s="48">
        <v>7</v>
      </c>
      <c r="B33" s="32" t="s">
        <v>167</v>
      </c>
      <c r="C33" s="36">
        <v>43791</v>
      </c>
      <c r="D33" s="25" t="s">
        <v>168</v>
      </c>
      <c r="E33" s="34">
        <v>19.25</v>
      </c>
      <c r="F33" s="34">
        <v>110</v>
      </c>
      <c r="G33" s="94">
        <f t="shared" si="3"/>
        <v>15.909090909090907</v>
      </c>
      <c r="H33" s="49" t="s">
        <v>65</v>
      </c>
      <c r="I33" s="25" t="s">
        <v>65</v>
      </c>
      <c r="J33" s="17" t="s">
        <v>106</v>
      </c>
      <c r="K33" s="47" t="s">
        <v>65</v>
      </c>
      <c r="L33" s="49" t="s">
        <v>106</v>
      </c>
      <c r="M33" s="25" t="s">
        <v>17</v>
      </c>
      <c r="N33" s="25" t="s">
        <v>106</v>
      </c>
      <c r="O33" s="47" t="s">
        <v>17</v>
      </c>
    </row>
    <row r="34" spans="1:15" ht="15" customHeight="1" thickBot="1" x14ac:dyDescent="0.35">
      <c r="A34" s="82">
        <v>8</v>
      </c>
      <c r="B34" s="95" t="s">
        <v>169</v>
      </c>
      <c r="C34" s="96">
        <v>43506</v>
      </c>
      <c r="D34" s="58" t="s">
        <v>37</v>
      </c>
      <c r="E34" s="97">
        <v>21.25</v>
      </c>
      <c r="F34" s="97">
        <v>112.8</v>
      </c>
      <c r="G34" s="98">
        <f t="shared" si="3"/>
        <v>16.700933051657366</v>
      </c>
      <c r="H34" s="89" t="s">
        <v>65</v>
      </c>
      <c r="I34" s="58" t="s">
        <v>65</v>
      </c>
      <c r="J34" s="63" t="s">
        <v>106</v>
      </c>
      <c r="K34" s="87" t="s">
        <v>65</v>
      </c>
      <c r="L34" s="89" t="s">
        <v>106</v>
      </c>
      <c r="M34" s="102" t="s">
        <v>20</v>
      </c>
      <c r="N34" s="58" t="s">
        <v>106</v>
      </c>
      <c r="O34" s="87" t="s">
        <v>17</v>
      </c>
    </row>
    <row r="35" spans="1:15" ht="10.5" customHeight="1" thickBot="1" x14ac:dyDescent="0.4">
      <c r="A35" s="285" t="s">
        <v>170</v>
      </c>
      <c r="B35" s="286"/>
      <c r="C35" s="286"/>
      <c r="D35" s="286"/>
      <c r="E35" s="287"/>
      <c r="F35" s="287"/>
      <c r="G35" s="287"/>
      <c r="H35" s="286"/>
      <c r="I35" s="286"/>
      <c r="J35" s="286"/>
      <c r="K35" s="286"/>
      <c r="L35" s="286"/>
      <c r="M35" s="286"/>
      <c r="N35" s="286"/>
      <c r="O35" s="288"/>
    </row>
    <row r="36" spans="1:15" ht="15" customHeight="1" x14ac:dyDescent="0.3">
      <c r="A36" s="84">
        <v>1</v>
      </c>
      <c r="B36" s="90" t="s">
        <v>171</v>
      </c>
      <c r="C36" s="70">
        <v>44261</v>
      </c>
      <c r="D36" s="71" t="s">
        <v>172</v>
      </c>
      <c r="E36" s="81">
        <v>17.399999999999999</v>
      </c>
      <c r="F36" s="81">
        <v>102</v>
      </c>
      <c r="G36" s="73">
        <f t="shared" ref="G36:G41" si="4">E36/(F36/100)^2</f>
        <v>16.724336793540946</v>
      </c>
      <c r="H36" s="84" t="s">
        <v>65</v>
      </c>
      <c r="I36" s="71" t="s">
        <v>65</v>
      </c>
      <c r="J36" s="85" t="s">
        <v>65</v>
      </c>
      <c r="K36" s="86" t="s">
        <v>65</v>
      </c>
      <c r="L36" s="88" t="s">
        <v>65</v>
      </c>
      <c r="M36" s="85" t="s">
        <v>65</v>
      </c>
      <c r="N36" s="85" t="s">
        <v>65</v>
      </c>
      <c r="O36" s="99" t="s">
        <v>106</v>
      </c>
    </row>
    <row r="37" spans="1:15" ht="15" customHeight="1" x14ac:dyDescent="0.3">
      <c r="A37" s="48">
        <v>2</v>
      </c>
      <c r="B37" s="27" t="s">
        <v>173</v>
      </c>
      <c r="C37" s="31">
        <v>43829</v>
      </c>
      <c r="D37" s="15" t="s">
        <v>174</v>
      </c>
      <c r="E37" s="24">
        <v>19.350000000000001</v>
      </c>
      <c r="F37" s="24">
        <v>112.2</v>
      </c>
      <c r="G37" s="74">
        <f t="shared" si="4"/>
        <v>15.370756956161168</v>
      </c>
      <c r="H37" s="48" t="s">
        <v>65</v>
      </c>
      <c r="I37" s="15" t="s">
        <v>65</v>
      </c>
      <c r="J37" s="25" t="s">
        <v>106</v>
      </c>
      <c r="K37" s="47" t="s">
        <v>65</v>
      </c>
      <c r="L37" s="49" t="s">
        <v>106</v>
      </c>
      <c r="M37" s="25" t="s">
        <v>17</v>
      </c>
      <c r="N37" s="25" t="s">
        <v>106</v>
      </c>
      <c r="O37" s="50" t="s">
        <v>17</v>
      </c>
    </row>
    <row r="38" spans="1:15" ht="15" customHeight="1" x14ac:dyDescent="0.3">
      <c r="A38" s="48">
        <v>3</v>
      </c>
      <c r="B38" s="27" t="s">
        <v>175</v>
      </c>
      <c r="C38" s="31">
        <v>43887</v>
      </c>
      <c r="D38" s="15" t="s">
        <v>176</v>
      </c>
      <c r="E38" s="24">
        <v>16.149999999999999</v>
      </c>
      <c r="F38" s="24">
        <v>100.2</v>
      </c>
      <c r="G38" s="74">
        <f t="shared" si="4"/>
        <v>16.085593284488908</v>
      </c>
      <c r="H38" s="48" t="s">
        <v>65</v>
      </c>
      <c r="I38" s="104" t="s">
        <v>120</v>
      </c>
      <c r="J38" s="25" t="s">
        <v>106</v>
      </c>
      <c r="K38" s="61" t="s">
        <v>65</v>
      </c>
      <c r="L38" s="49" t="s">
        <v>106</v>
      </c>
      <c r="M38" s="25" t="s">
        <v>65</v>
      </c>
      <c r="N38" s="25" t="s">
        <v>106</v>
      </c>
      <c r="O38" s="50" t="s">
        <v>17</v>
      </c>
    </row>
    <row r="39" spans="1:15" ht="15" customHeight="1" x14ac:dyDescent="0.3">
      <c r="A39" s="48">
        <v>4</v>
      </c>
      <c r="B39" s="27" t="s">
        <v>177</v>
      </c>
      <c r="C39" s="31">
        <v>43648</v>
      </c>
      <c r="D39" s="15" t="s">
        <v>178</v>
      </c>
      <c r="E39" s="24">
        <v>21.9</v>
      </c>
      <c r="F39" s="24">
        <v>118</v>
      </c>
      <c r="G39" s="74">
        <f t="shared" si="4"/>
        <v>15.728239011778225</v>
      </c>
      <c r="H39" s="48" t="s">
        <v>65</v>
      </c>
      <c r="I39" s="15" t="s">
        <v>65</v>
      </c>
      <c r="J39" s="25" t="s">
        <v>106</v>
      </c>
      <c r="K39" s="47" t="s">
        <v>65</v>
      </c>
      <c r="L39" s="49" t="s">
        <v>106</v>
      </c>
      <c r="M39" s="25" t="s">
        <v>17</v>
      </c>
      <c r="N39" s="25" t="s">
        <v>106</v>
      </c>
      <c r="O39" s="50" t="s">
        <v>17</v>
      </c>
    </row>
    <row r="40" spans="1:15" ht="15" customHeight="1" x14ac:dyDescent="0.3">
      <c r="A40" s="48">
        <v>5</v>
      </c>
      <c r="B40" s="13" t="s">
        <v>179</v>
      </c>
      <c r="C40" s="19">
        <v>43993</v>
      </c>
      <c r="D40" s="15" t="s">
        <v>180</v>
      </c>
      <c r="E40" s="24">
        <v>20.75</v>
      </c>
      <c r="F40" s="24">
        <v>112</v>
      </c>
      <c r="G40" s="74">
        <f t="shared" si="4"/>
        <v>16.541772959183671</v>
      </c>
      <c r="H40" s="48" t="s">
        <v>139</v>
      </c>
      <c r="I40" s="15" t="s">
        <v>65</v>
      </c>
      <c r="J40" s="25" t="s">
        <v>106</v>
      </c>
      <c r="K40" s="47" t="s">
        <v>65</v>
      </c>
      <c r="L40" s="49" t="s">
        <v>106</v>
      </c>
      <c r="M40" s="25" t="s">
        <v>17</v>
      </c>
      <c r="N40" s="25" t="s">
        <v>106</v>
      </c>
      <c r="O40" s="50" t="s">
        <v>17</v>
      </c>
    </row>
    <row r="41" spans="1:15" ht="15" customHeight="1" thickBot="1" x14ac:dyDescent="0.35">
      <c r="A41" s="51">
        <v>6</v>
      </c>
      <c r="B41" s="52" t="s">
        <v>181</v>
      </c>
      <c r="C41" s="53">
        <v>43894</v>
      </c>
      <c r="D41" s="54" t="s">
        <v>182</v>
      </c>
      <c r="E41" s="55">
        <v>21.05</v>
      </c>
      <c r="F41" s="55">
        <v>106.5</v>
      </c>
      <c r="G41" s="79">
        <f t="shared" si="4"/>
        <v>18.558927902312156</v>
      </c>
      <c r="H41" s="82" t="s">
        <v>65</v>
      </c>
      <c r="I41" s="57" t="s">
        <v>65</v>
      </c>
      <c r="J41" s="58" t="s">
        <v>106</v>
      </c>
      <c r="K41" s="110" t="s">
        <v>113</v>
      </c>
      <c r="L41" s="89" t="s">
        <v>106</v>
      </c>
      <c r="M41" s="102" t="s">
        <v>20</v>
      </c>
      <c r="N41" s="58" t="s">
        <v>106</v>
      </c>
      <c r="O41" s="110" t="s">
        <v>183</v>
      </c>
    </row>
  </sheetData>
  <mergeCells count="9">
    <mergeCell ref="A35:O35"/>
    <mergeCell ref="A12:O12"/>
    <mergeCell ref="A20:O20"/>
    <mergeCell ref="A1:M1"/>
    <mergeCell ref="H2:K2"/>
    <mergeCell ref="L2:O2"/>
    <mergeCell ref="A2:G2"/>
    <mergeCell ref="A27:O27"/>
    <mergeCell ref="A4:O4"/>
  </mergeCells>
  <pageMargins left="0" right="0" top="0" bottom="0" header="0.31496062992125978" footer="0.31496062992125978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T24"/>
  <sheetViews>
    <sheetView topLeftCell="A4" zoomScale="120" zoomScaleNormal="120" workbookViewId="0">
      <selection activeCell="J26" sqref="J26:N28"/>
    </sheetView>
  </sheetViews>
  <sheetFormatPr baseColWidth="10" defaultColWidth="11.453125" defaultRowHeight="9.5" x14ac:dyDescent="0.35"/>
  <cols>
    <col min="1" max="1" width="4.1796875" style="130" customWidth="1"/>
    <col min="2" max="2" width="29.81640625" style="130" customWidth="1"/>
    <col min="3" max="3" width="9.7265625" style="130" customWidth="1"/>
    <col min="4" max="4" width="11.453125" style="130" customWidth="1"/>
    <col min="5" max="5" width="7.26953125" style="130" customWidth="1"/>
    <col min="6" max="6" width="11.453125" style="130" customWidth="1"/>
    <col min="7" max="7" width="8.26953125" style="130" customWidth="1"/>
    <col min="8" max="11" width="15.7265625" style="130" customWidth="1"/>
    <col min="12" max="12" width="11.453125" style="130" customWidth="1"/>
    <col min="13" max="16384" width="11.453125" style="130"/>
  </cols>
  <sheetData>
    <row r="1" spans="1:1398" ht="20.149999999999999" customHeight="1" thickBot="1" x14ac:dyDescent="0.4">
      <c r="A1" s="305" t="s">
        <v>184</v>
      </c>
      <c r="B1" s="306"/>
      <c r="C1" s="306"/>
      <c r="D1" s="306"/>
      <c r="E1" s="306"/>
      <c r="F1" s="306"/>
      <c r="G1" s="306"/>
      <c r="H1" s="306"/>
      <c r="I1" s="306"/>
      <c r="J1" s="306"/>
      <c r="K1" s="307"/>
    </row>
    <row r="2" spans="1:1398" ht="20.149999999999999" customHeight="1" x14ac:dyDescent="0.35">
      <c r="A2" s="296" t="s">
        <v>1</v>
      </c>
      <c r="B2" s="297"/>
      <c r="C2" s="297"/>
      <c r="D2" s="297"/>
      <c r="E2" s="297"/>
      <c r="F2" s="297"/>
      <c r="G2" s="131"/>
      <c r="H2" s="301" t="s">
        <v>185</v>
      </c>
      <c r="I2" s="302"/>
      <c r="J2" s="303" t="s">
        <v>186</v>
      </c>
      <c r="K2" s="304"/>
    </row>
    <row r="3" spans="1:1398" ht="20.149999999999999" customHeight="1" thickBot="1" x14ac:dyDescent="0.4">
      <c r="A3" s="138" t="s">
        <v>4</v>
      </c>
      <c r="B3" s="139" t="s">
        <v>5</v>
      </c>
      <c r="C3" s="140" t="s">
        <v>6</v>
      </c>
      <c r="D3" s="139" t="s">
        <v>7</v>
      </c>
      <c r="E3" s="139" t="s">
        <v>8</v>
      </c>
      <c r="F3" s="139" t="s">
        <v>9</v>
      </c>
      <c r="G3" s="139" t="s">
        <v>10</v>
      </c>
      <c r="H3" s="139" t="s">
        <v>11</v>
      </c>
      <c r="I3" s="139" t="s">
        <v>12</v>
      </c>
      <c r="J3" s="139" t="s">
        <v>11</v>
      </c>
      <c r="K3" s="141" t="s">
        <v>12</v>
      </c>
    </row>
    <row r="4" spans="1:1398" ht="20.149999999999999" customHeight="1" thickBot="1" x14ac:dyDescent="0.4">
      <c r="A4" s="298" t="s">
        <v>187</v>
      </c>
      <c r="B4" s="299"/>
      <c r="C4" s="299"/>
      <c r="D4" s="299"/>
      <c r="E4" s="299"/>
      <c r="F4" s="299"/>
      <c r="G4" s="299"/>
      <c r="H4" s="299"/>
      <c r="I4" s="299"/>
      <c r="J4" s="299"/>
      <c r="K4" s="300"/>
    </row>
    <row r="5" spans="1:1398" s="41" customFormat="1" ht="20.149999999999999" customHeight="1" x14ac:dyDescent="0.35">
      <c r="A5" s="84">
        <v>1</v>
      </c>
      <c r="B5" s="142" t="s">
        <v>188</v>
      </c>
      <c r="C5" s="143">
        <v>43400</v>
      </c>
      <c r="D5" s="71" t="s">
        <v>189</v>
      </c>
      <c r="E5" s="72">
        <v>22.2</v>
      </c>
      <c r="F5" s="71">
        <v>113.6</v>
      </c>
      <c r="G5" s="73">
        <f>E5/(F5/100)^2</f>
        <v>17.202687958738348</v>
      </c>
      <c r="H5" s="148" t="s">
        <v>20</v>
      </c>
      <c r="I5" s="99" t="s">
        <v>65</v>
      </c>
      <c r="J5" s="148" t="s">
        <v>20</v>
      </c>
      <c r="K5" s="151" t="s">
        <v>17</v>
      </c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0"/>
      <c r="BL5" s="130"/>
      <c r="BM5" s="130"/>
      <c r="BN5" s="130"/>
      <c r="BO5" s="130"/>
      <c r="BP5" s="130"/>
      <c r="BQ5" s="130"/>
      <c r="BR5" s="130"/>
      <c r="BS5" s="130"/>
      <c r="BT5" s="130"/>
      <c r="BU5" s="130"/>
      <c r="BV5" s="130"/>
      <c r="BW5" s="130"/>
      <c r="BX5" s="130"/>
      <c r="BY5" s="130"/>
      <c r="BZ5" s="130"/>
      <c r="CA5" s="130"/>
      <c r="CB5" s="130"/>
      <c r="CC5" s="130"/>
      <c r="CD5" s="130"/>
      <c r="CE5" s="130"/>
      <c r="CF5" s="130"/>
      <c r="CG5" s="130"/>
      <c r="CH5" s="130"/>
      <c r="CI5" s="130"/>
      <c r="CJ5" s="130"/>
      <c r="CK5" s="130"/>
      <c r="CL5" s="130"/>
      <c r="CM5" s="130"/>
      <c r="CN5" s="130"/>
      <c r="CO5" s="130"/>
      <c r="CP5" s="130"/>
      <c r="CQ5" s="130"/>
      <c r="CR5" s="130"/>
      <c r="CS5" s="130"/>
      <c r="CT5" s="130"/>
      <c r="CU5" s="130"/>
      <c r="CV5" s="130"/>
      <c r="CW5" s="130"/>
      <c r="CX5" s="130"/>
      <c r="CY5" s="130"/>
      <c r="CZ5" s="130"/>
      <c r="DA5" s="130"/>
      <c r="DB5" s="130"/>
      <c r="DC5" s="130"/>
      <c r="DD5" s="130"/>
      <c r="DE5" s="130"/>
      <c r="DF5" s="130"/>
      <c r="DG5" s="130"/>
      <c r="DH5" s="130"/>
      <c r="DI5" s="130"/>
      <c r="DJ5" s="130"/>
      <c r="DK5" s="130"/>
      <c r="DL5" s="130"/>
      <c r="DM5" s="130"/>
      <c r="DN5" s="130"/>
      <c r="DO5" s="130"/>
      <c r="DP5" s="130"/>
      <c r="DQ5" s="130"/>
      <c r="DR5" s="130"/>
      <c r="DS5" s="130"/>
      <c r="DT5" s="130"/>
      <c r="DU5" s="130"/>
      <c r="DV5" s="130"/>
      <c r="DW5" s="130"/>
      <c r="DX5" s="130"/>
      <c r="DY5" s="130"/>
      <c r="DZ5" s="130"/>
      <c r="EA5" s="130"/>
      <c r="EB5" s="130"/>
      <c r="EC5" s="130"/>
      <c r="ED5" s="130"/>
      <c r="EE5" s="130"/>
      <c r="EF5" s="130"/>
      <c r="EG5" s="130"/>
      <c r="EH5" s="130"/>
      <c r="EI5" s="130"/>
      <c r="EJ5" s="130"/>
      <c r="EK5" s="130"/>
      <c r="EL5" s="130"/>
      <c r="EM5" s="130"/>
      <c r="EN5" s="130"/>
      <c r="EO5" s="130"/>
      <c r="EP5" s="130"/>
      <c r="EQ5" s="130"/>
      <c r="ER5" s="130"/>
      <c r="ES5" s="130"/>
      <c r="ET5" s="130"/>
      <c r="EU5" s="130"/>
      <c r="EV5" s="130"/>
      <c r="EW5" s="130"/>
      <c r="EX5" s="130"/>
      <c r="EY5" s="130"/>
      <c r="EZ5" s="130"/>
      <c r="FA5" s="130"/>
      <c r="FB5" s="130"/>
      <c r="FC5" s="130"/>
      <c r="FD5" s="130"/>
      <c r="FE5" s="130"/>
      <c r="FF5" s="130"/>
      <c r="FG5" s="130"/>
      <c r="FH5" s="130"/>
      <c r="FI5" s="130"/>
      <c r="FJ5" s="130"/>
      <c r="FK5" s="130"/>
      <c r="FL5" s="130"/>
      <c r="FM5" s="130"/>
      <c r="FN5" s="130"/>
      <c r="FO5" s="130"/>
      <c r="FP5" s="130"/>
      <c r="FQ5" s="130"/>
      <c r="FR5" s="130"/>
      <c r="FS5" s="130"/>
      <c r="FT5" s="130"/>
      <c r="FU5" s="130"/>
      <c r="FV5" s="130"/>
      <c r="FW5" s="130"/>
      <c r="FX5" s="130"/>
      <c r="FY5" s="130"/>
      <c r="FZ5" s="130"/>
      <c r="GA5" s="130"/>
      <c r="GB5" s="130"/>
      <c r="GC5" s="130"/>
      <c r="GD5" s="130"/>
      <c r="GE5" s="130"/>
      <c r="GF5" s="130"/>
      <c r="GG5" s="130"/>
      <c r="GH5" s="130"/>
      <c r="GI5" s="130"/>
      <c r="GJ5" s="130"/>
      <c r="GK5" s="130"/>
      <c r="GL5" s="130"/>
      <c r="GM5" s="130"/>
      <c r="GN5" s="130"/>
      <c r="GO5" s="130"/>
      <c r="GP5" s="130"/>
      <c r="GQ5" s="130"/>
      <c r="GR5" s="130"/>
      <c r="GS5" s="130"/>
      <c r="GT5" s="130"/>
      <c r="GU5" s="130"/>
      <c r="GV5" s="130"/>
      <c r="GW5" s="130"/>
      <c r="GX5" s="130"/>
      <c r="GY5" s="130"/>
      <c r="GZ5" s="130"/>
      <c r="HA5" s="130"/>
      <c r="HB5" s="130"/>
      <c r="HC5" s="130"/>
      <c r="HD5" s="130"/>
      <c r="HE5" s="130"/>
      <c r="HF5" s="130"/>
      <c r="HG5" s="130"/>
      <c r="HH5" s="130"/>
      <c r="HI5" s="130"/>
      <c r="HJ5" s="130"/>
      <c r="HK5" s="130"/>
      <c r="HL5" s="130"/>
      <c r="HM5" s="130"/>
      <c r="HN5" s="130"/>
      <c r="HO5" s="130"/>
      <c r="HP5" s="130"/>
      <c r="HQ5" s="130"/>
      <c r="HR5" s="130"/>
      <c r="HS5" s="130"/>
      <c r="HT5" s="130"/>
      <c r="HU5" s="130"/>
      <c r="HV5" s="130"/>
      <c r="HW5" s="130"/>
      <c r="HX5" s="130"/>
      <c r="HY5" s="130"/>
      <c r="HZ5" s="130"/>
      <c r="IA5" s="130"/>
      <c r="IB5" s="130"/>
      <c r="IC5" s="130"/>
      <c r="ID5" s="130"/>
      <c r="IE5" s="130"/>
      <c r="IF5" s="130"/>
      <c r="IG5" s="130"/>
      <c r="IH5" s="130"/>
      <c r="II5" s="130"/>
      <c r="IJ5" s="130"/>
      <c r="IK5" s="130"/>
      <c r="IL5" s="130"/>
      <c r="IM5" s="130"/>
      <c r="IN5" s="130"/>
      <c r="IO5" s="130"/>
      <c r="IP5" s="130"/>
      <c r="IQ5" s="130"/>
      <c r="IR5" s="130"/>
      <c r="IS5" s="130"/>
      <c r="IT5" s="130"/>
      <c r="IU5" s="130"/>
      <c r="IV5" s="130"/>
      <c r="IW5" s="130"/>
      <c r="IX5" s="130"/>
      <c r="IY5" s="130"/>
      <c r="IZ5" s="130"/>
      <c r="JA5" s="130"/>
      <c r="JB5" s="130"/>
      <c r="JC5" s="130"/>
      <c r="JD5" s="130"/>
      <c r="JE5" s="130"/>
      <c r="JF5" s="130"/>
      <c r="JG5" s="130"/>
      <c r="JH5" s="130"/>
      <c r="JI5" s="130"/>
      <c r="JJ5" s="130"/>
      <c r="JK5" s="130"/>
      <c r="JL5" s="130"/>
      <c r="JM5" s="130"/>
      <c r="JN5" s="130"/>
      <c r="JO5" s="130"/>
      <c r="JP5" s="130"/>
      <c r="JQ5" s="130"/>
      <c r="JR5" s="130"/>
      <c r="JS5" s="130"/>
      <c r="JT5" s="130"/>
      <c r="JU5" s="130"/>
      <c r="JV5" s="130"/>
      <c r="JW5" s="130"/>
      <c r="JX5" s="130"/>
      <c r="JY5" s="130"/>
      <c r="JZ5" s="130"/>
      <c r="KA5" s="130"/>
      <c r="KB5" s="130"/>
      <c r="KC5" s="130"/>
      <c r="KD5" s="130"/>
      <c r="KE5" s="130"/>
      <c r="KF5" s="130"/>
      <c r="KG5" s="130"/>
      <c r="KH5" s="130"/>
      <c r="KI5" s="130"/>
      <c r="KJ5" s="130"/>
      <c r="KK5" s="130"/>
      <c r="KL5" s="130"/>
      <c r="KM5" s="130"/>
      <c r="KN5" s="130"/>
      <c r="KO5" s="130"/>
      <c r="KP5" s="130"/>
      <c r="KQ5" s="130"/>
      <c r="KR5" s="130"/>
      <c r="KS5" s="130"/>
      <c r="KT5" s="130"/>
      <c r="KU5" s="130"/>
      <c r="KV5" s="130"/>
      <c r="KW5" s="130"/>
      <c r="KX5" s="130"/>
      <c r="KY5" s="130"/>
      <c r="KZ5" s="130"/>
      <c r="LA5" s="130"/>
      <c r="LB5" s="130"/>
      <c r="LC5" s="130"/>
      <c r="LD5" s="130"/>
      <c r="LE5" s="130"/>
      <c r="LF5" s="130"/>
      <c r="LG5" s="130"/>
      <c r="LH5" s="130"/>
      <c r="LI5" s="130"/>
      <c r="LJ5" s="130"/>
      <c r="LK5" s="130"/>
      <c r="LL5" s="130"/>
      <c r="LM5" s="130"/>
      <c r="LN5" s="130"/>
      <c r="LO5" s="130"/>
      <c r="LP5" s="130"/>
      <c r="LQ5" s="130"/>
      <c r="LR5" s="130"/>
      <c r="LS5" s="130"/>
      <c r="LT5" s="130"/>
      <c r="LU5" s="130"/>
      <c r="LV5" s="130"/>
      <c r="LW5" s="130"/>
      <c r="LX5" s="130"/>
      <c r="LY5" s="130"/>
      <c r="LZ5" s="130"/>
      <c r="MA5" s="130"/>
      <c r="MB5" s="130"/>
      <c r="MC5" s="130"/>
      <c r="MD5" s="130"/>
      <c r="ME5" s="130"/>
      <c r="MF5" s="130"/>
      <c r="MG5" s="130"/>
      <c r="MH5" s="130"/>
      <c r="MI5" s="130"/>
      <c r="MJ5" s="130"/>
      <c r="MK5" s="130"/>
      <c r="ML5" s="130"/>
      <c r="MM5" s="130"/>
      <c r="MN5" s="130"/>
      <c r="MO5" s="130"/>
      <c r="MP5" s="130"/>
      <c r="MQ5" s="130"/>
      <c r="MR5" s="130"/>
      <c r="MS5" s="130"/>
      <c r="MT5" s="130"/>
      <c r="MU5" s="130"/>
      <c r="MV5" s="130"/>
      <c r="MW5" s="130"/>
      <c r="MX5" s="130"/>
      <c r="MY5" s="130"/>
      <c r="MZ5" s="130"/>
      <c r="NA5" s="130"/>
      <c r="NB5" s="130"/>
      <c r="NC5" s="130"/>
      <c r="ND5" s="130"/>
      <c r="NE5" s="130"/>
      <c r="NF5" s="130"/>
      <c r="NG5" s="130"/>
      <c r="NH5" s="130"/>
      <c r="NI5" s="130"/>
      <c r="NJ5" s="130"/>
      <c r="NK5" s="130"/>
      <c r="NL5" s="130"/>
      <c r="NM5" s="130"/>
      <c r="NN5" s="130"/>
      <c r="NO5" s="130"/>
      <c r="NP5" s="130"/>
      <c r="NQ5" s="130"/>
      <c r="NR5" s="130"/>
      <c r="NS5" s="130"/>
      <c r="NT5" s="130"/>
      <c r="NU5" s="130"/>
      <c r="NV5" s="130"/>
      <c r="NW5" s="130"/>
      <c r="NX5" s="130"/>
      <c r="NY5" s="130"/>
      <c r="NZ5" s="130"/>
      <c r="OA5" s="130"/>
      <c r="OB5" s="130"/>
      <c r="OC5" s="130"/>
      <c r="OD5" s="130"/>
      <c r="OE5" s="130"/>
      <c r="OF5" s="130"/>
      <c r="OG5" s="130"/>
      <c r="OH5" s="130"/>
      <c r="OI5" s="130"/>
      <c r="OJ5" s="130"/>
      <c r="OK5" s="130"/>
      <c r="OL5" s="130"/>
      <c r="OM5" s="130"/>
      <c r="ON5" s="130"/>
      <c r="OO5" s="130"/>
      <c r="OP5" s="130"/>
      <c r="OQ5" s="130"/>
      <c r="OR5" s="130"/>
      <c r="OS5" s="130"/>
      <c r="OT5" s="130"/>
      <c r="OU5" s="130"/>
      <c r="OV5" s="130"/>
      <c r="OW5" s="130"/>
      <c r="OX5" s="130"/>
      <c r="OY5" s="130"/>
      <c r="OZ5" s="130"/>
      <c r="PA5" s="130"/>
      <c r="PB5" s="130"/>
      <c r="PC5" s="130"/>
      <c r="PD5" s="130"/>
      <c r="PE5" s="130"/>
      <c r="PF5" s="130"/>
      <c r="PG5" s="130"/>
      <c r="PH5" s="130"/>
      <c r="PI5" s="130"/>
      <c r="PJ5" s="130"/>
      <c r="PK5" s="130"/>
      <c r="PL5" s="130"/>
      <c r="PM5" s="130"/>
      <c r="PN5" s="130"/>
      <c r="PO5" s="130"/>
      <c r="PP5" s="130"/>
      <c r="PQ5" s="130"/>
      <c r="PR5" s="130"/>
      <c r="PS5" s="130"/>
      <c r="PT5" s="130"/>
      <c r="PU5" s="130"/>
      <c r="PV5" s="130"/>
      <c r="PW5" s="130"/>
      <c r="PX5" s="130"/>
      <c r="PY5" s="130"/>
      <c r="PZ5" s="130"/>
      <c r="QA5" s="130"/>
      <c r="QB5" s="130"/>
      <c r="QC5" s="130"/>
      <c r="QD5" s="130"/>
      <c r="QE5" s="130"/>
      <c r="QF5" s="130"/>
      <c r="QG5" s="130"/>
      <c r="QH5" s="130"/>
      <c r="QI5" s="130"/>
      <c r="QJ5" s="130"/>
      <c r="QK5" s="130"/>
      <c r="QL5" s="130"/>
      <c r="QM5" s="130"/>
      <c r="QN5" s="130"/>
      <c r="QO5" s="130"/>
      <c r="QP5" s="130"/>
      <c r="QQ5" s="130"/>
      <c r="QR5" s="130"/>
      <c r="QS5" s="130"/>
      <c r="QT5" s="130"/>
      <c r="QU5" s="130"/>
      <c r="QV5" s="130"/>
      <c r="QW5" s="130"/>
      <c r="QX5" s="130"/>
      <c r="QY5" s="130"/>
      <c r="QZ5" s="130"/>
      <c r="RA5" s="130"/>
      <c r="RB5" s="130"/>
      <c r="RC5" s="130"/>
      <c r="RD5" s="130"/>
      <c r="RE5" s="130"/>
      <c r="RF5" s="130"/>
      <c r="RG5" s="130"/>
      <c r="RH5" s="130"/>
      <c r="RI5" s="130"/>
      <c r="RJ5" s="130"/>
      <c r="RK5" s="130"/>
      <c r="RL5" s="130"/>
      <c r="RM5" s="130"/>
      <c r="RN5" s="130"/>
      <c r="RO5" s="130"/>
      <c r="RP5" s="130"/>
      <c r="RQ5" s="130"/>
      <c r="RR5" s="130"/>
      <c r="RS5" s="130"/>
      <c r="RT5" s="130"/>
      <c r="RU5" s="130"/>
      <c r="RV5" s="130"/>
      <c r="RW5" s="130"/>
      <c r="RX5" s="130"/>
      <c r="RY5" s="130"/>
      <c r="RZ5" s="130"/>
      <c r="SA5" s="130"/>
      <c r="SB5" s="130"/>
      <c r="SC5" s="130"/>
      <c r="SD5" s="130"/>
      <c r="SE5" s="130"/>
      <c r="SF5" s="130"/>
      <c r="SG5" s="130"/>
      <c r="SH5" s="130"/>
      <c r="SI5" s="130"/>
      <c r="SJ5" s="130"/>
      <c r="SK5" s="130"/>
      <c r="SL5" s="130"/>
      <c r="SM5" s="130"/>
      <c r="SN5" s="130"/>
      <c r="SO5" s="130"/>
      <c r="SP5" s="130"/>
      <c r="SQ5" s="130"/>
      <c r="SR5" s="130"/>
      <c r="SS5" s="130"/>
      <c r="ST5" s="130"/>
      <c r="SU5" s="130"/>
      <c r="SV5" s="130"/>
      <c r="SW5" s="130"/>
      <c r="SX5" s="130"/>
      <c r="SY5" s="130"/>
      <c r="SZ5" s="130"/>
      <c r="TA5" s="130"/>
      <c r="TB5" s="130"/>
      <c r="TC5" s="130"/>
      <c r="TD5" s="130"/>
      <c r="TE5" s="130"/>
      <c r="TF5" s="130"/>
      <c r="TG5" s="130"/>
      <c r="TH5" s="130"/>
      <c r="TI5" s="130"/>
      <c r="TJ5" s="130"/>
      <c r="TK5" s="130"/>
      <c r="TL5" s="130"/>
      <c r="TM5" s="130"/>
      <c r="TN5" s="130"/>
      <c r="TO5" s="130"/>
      <c r="TP5" s="130"/>
      <c r="TQ5" s="130"/>
      <c r="TR5" s="130"/>
      <c r="TS5" s="130"/>
      <c r="TT5" s="130"/>
      <c r="TU5" s="130"/>
      <c r="TV5" s="130"/>
      <c r="TW5" s="130"/>
      <c r="TX5" s="130"/>
      <c r="TY5" s="130"/>
      <c r="TZ5" s="130"/>
      <c r="UA5" s="130"/>
      <c r="UB5" s="130"/>
      <c r="UC5" s="130"/>
      <c r="UD5" s="130"/>
      <c r="UE5" s="130"/>
      <c r="UF5" s="130"/>
      <c r="UG5" s="130"/>
      <c r="UH5" s="130"/>
      <c r="UI5" s="130"/>
      <c r="UJ5" s="130"/>
      <c r="UK5" s="130"/>
      <c r="UL5" s="130"/>
      <c r="UM5" s="130"/>
      <c r="UN5" s="130"/>
      <c r="UO5" s="130"/>
      <c r="UP5" s="130"/>
      <c r="UQ5" s="130"/>
      <c r="UR5" s="130"/>
      <c r="US5" s="130"/>
      <c r="UT5" s="130"/>
      <c r="UU5" s="130"/>
      <c r="UV5" s="130"/>
      <c r="UW5" s="130"/>
      <c r="UX5" s="130"/>
      <c r="UY5" s="130"/>
      <c r="UZ5" s="130"/>
      <c r="VA5" s="130"/>
      <c r="VB5" s="130"/>
      <c r="VC5" s="130"/>
      <c r="VD5" s="130"/>
      <c r="VE5" s="130"/>
      <c r="VF5" s="130"/>
      <c r="VG5" s="130"/>
      <c r="VH5" s="130"/>
      <c r="VI5" s="130"/>
      <c r="VJ5" s="130"/>
      <c r="VK5" s="130"/>
      <c r="VL5" s="130"/>
      <c r="VM5" s="130"/>
      <c r="VN5" s="130"/>
      <c r="VO5" s="130"/>
      <c r="VP5" s="130"/>
      <c r="VQ5" s="130"/>
      <c r="VR5" s="130"/>
      <c r="VS5" s="130"/>
      <c r="VT5" s="130"/>
      <c r="VU5" s="130"/>
      <c r="VV5" s="130"/>
      <c r="VW5" s="130"/>
      <c r="VX5" s="130"/>
      <c r="VY5" s="130"/>
      <c r="VZ5" s="130"/>
      <c r="WA5" s="130"/>
      <c r="WB5" s="130"/>
      <c r="WC5" s="130"/>
      <c r="WD5" s="130"/>
      <c r="WE5" s="130"/>
      <c r="WF5" s="130"/>
      <c r="WG5" s="130"/>
      <c r="WH5" s="130"/>
      <c r="WI5" s="130"/>
      <c r="WJ5" s="130"/>
      <c r="WK5" s="130"/>
      <c r="WL5" s="130"/>
      <c r="WM5" s="130"/>
      <c r="WN5" s="130"/>
      <c r="WO5" s="130"/>
      <c r="WP5" s="130"/>
      <c r="WQ5" s="130"/>
      <c r="WR5" s="130"/>
      <c r="WS5" s="130"/>
      <c r="WT5" s="130"/>
      <c r="WU5" s="130"/>
      <c r="WV5" s="130"/>
      <c r="WW5" s="130"/>
      <c r="WX5" s="130"/>
      <c r="WY5" s="130"/>
      <c r="WZ5" s="130"/>
      <c r="XA5" s="130"/>
      <c r="XB5" s="130"/>
      <c r="XC5" s="130"/>
      <c r="XD5" s="130"/>
      <c r="XE5" s="130"/>
      <c r="XF5" s="130"/>
      <c r="XG5" s="130"/>
      <c r="XH5" s="130"/>
      <c r="XI5" s="130"/>
      <c r="XJ5" s="130"/>
      <c r="XK5" s="130"/>
      <c r="XL5" s="130"/>
      <c r="XM5" s="130"/>
      <c r="XN5" s="130"/>
      <c r="XO5" s="130"/>
      <c r="XP5" s="130"/>
      <c r="XQ5" s="130"/>
      <c r="XR5" s="130"/>
      <c r="XS5" s="130"/>
      <c r="XT5" s="130"/>
      <c r="XU5" s="130"/>
      <c r="XV5" s="130"/>
      <c r="XW5" s="130"/>
      <c r="XX5" s="130"/>
      <c r="XY5" s="130"/>
      <c r="XZ5" s="130"/>
      <c r="YA5" s="130"/>
      <c r="YB5" s="130"/>
      <c r="YC5" s="130"/>
      <c r="YD5" s="130"/>
      <c r="YE5" s="130"/>
      <c r="YF5" s="130"/>
      <c r="YG5" s="130"/>
      <c r="YH5" s="130"/>
      <c r="YI5" s="130"/>
      <c r="YJ5" s="130"/>
      <c r="YK5" s="130"/>
      <c r="YL5" s="130"/>
      <c r="YM5" s="130"/>
      <c r="YN5" s="130"/>
      <c r="YO5" s="130"/>
      <c r="YP5" s="130"/>
      <c r="YQ5" s="130"/>
      <c r="YR5" s="130"/>
      <c r="YS5" s="130"/>
      <c r="YT5" s="130"/>
      <c r="YU5" s="130"/>
      <c r="YV5" s="130"/>
      <c r="YW5" s="130"/>
      <c r="YX5" s="130"/>
      <c r="YY5" s="130"/>
      <c r="YZ5" s="130"/>
      <c r="ZA5" s="130"/>
      <c r="ZB5" s="130"/>
      <c r="ZC5" s="130"/>
      <c r="ZD5" s="130"/>
      <c r="ZE5" s="130"/>
      <c r="ZF5" s="130"/>
      <c r="ZG5" s="130"/>
      <c r="ZH5" s="130"/>
      <c r="ZI5" s="130"/>
      <c r="ZJ5" s="130"/>
      <c r="ZK5" s="130"/>
      <c r="ZL5" s="130"/>
      <c r="ZM5" s="130"/>
      <c r="ZN5" s="130"/>
      <c r="ZO5" s="130"/>
      <c r="ZP5" s="130"/>
      <c r="ZQ5" s="130"/>
      <c r="ZR5" s="130"/>
      <c r="ZS5" s="130"/>
      <c r="ZT5" s="130"/>
      <c r="ZU5" s="130"/>
      <c r="ZV5" s="130"/>
      <c r="ZW5" s="130"/>
      <c r="ZX5" s="130"/>
      <c r="ZY5" s="130"/>
      <c r="ZZ5" s="130"/>
      <c r="AAA5" s="130"/>
      <c r="AAB5" s="130"/>
      <c r="AAC5" s="130"/>
      <c r="AAD5" s="130"/>
      <c r="AAE5" s="130"/>
      <c r="AAF5" s="130"/>
      <c r="AAG5" s="130"/>
      <c r="AAH5" s="130"/>
      <c r="AAI5" s="130"/>
      <c r="AAJ5" s="130"/>
      <c r="AAK5" s="130"/>
      <c r="AAL5" s="130"/>
      <c r="AAM5" s="130"/>
      <c r="AAN5" s="130"/>
      <c r="AAO5" s="130"/>
      <c r="AAP5" s="130"/>
      <c r="AAQ5" s="130"/>
      <c r="AAR5" s="130"/>
      <c r="AAS5" s="130"/>
      <c r="AAT5" s="130"/>
      <c r="AAU5" s="130"/>
      <c r="AAV5" s="130"/>
      <c r="AAW5" s="130"/>
      <c r="AAX5" s="130"/>
      <c r="AAY5" s="130"/>
      <c r="AAZ5" s="130"/>
      <c r="ABA5" s="130"/>
      <c r="ABB5" s="130"/>
      <c r="ABC5" s="130"/>
      <c r="ABD5" s="130"/>
      <c r="ABE5" s="130"/>
      <c r="ABF5" s="130"/>
      <c r="ABG5" s="130"/>
      <c r="ABH5" s="130"/>
      <c r="ABI5" s="130"/>
      <c r="ABJ5" s="130"/>
      <c r="ABK5" s="130"/>
      <c r="ABL5" s="130"/>
      <c r="ABM5" s="130"/>
      <c r="ABN5" s="130"/>
      <c r="ABO5" s="130"/>
      <c r="ABP5" s="130"/>
      <c r="ABQ5" s="130"/>
      <c r="ABR5" s="130"/>
      <c r="ABS5" s="130"/>
      <c r="ABT5" s="130"/>
      <c r="ABU5" s="130"/>
      <c r="ABV5" s="130"/>
      <c r="ABW5" s="130"/>
      <c r="ABX5" s="130"/>
      <c r="ABY5" s="130"/>
      <c r="ABZ5" s="130"/>
      <c r="ACA5" s="130"/>
      <c r="ACB5" s="130"/>
      <c r="ACC5" s="130"/>
      <c r="ACD5" s="130"/>
      <c r="ACE5" s="130"/>
      <c r="ACF5" s="130"/>
      <c r="ACG5" s="130"/>
      <c r="ACH5" s="130"/>
      <c r="ACI5" s="130"/>
      <c r="ACJ5" s="130"/>
      <c r="ACK5" s="130"/>
      <c r="ACL5" s="130"/>
      <c r="ACM5" s="130"/>
      <c r="ACN5" s="130"/>
      <c r="ACO5" s="130"/>
      <c r="ACP5" s="130"/>
      <c r="ACQ5" s="130"/>
      <c r="ACR5" s="130"/>
      <c r="ACS5" s="130"/>
      <c r="ACT5" s="130"/>
      <c r="ACU5" s="130"/>
      <c r="ACV5" s="130"/>
      <c r="ACW5" s="130"/>
      <c r="ACX5" s="130"/>
      <c r="ACY5" s="130"/>
      <c r="ACZ5" s="130"/>
      <c r="ADA5" s="130"/>
      <c r="ADB5" s="130"/>
      <c r="ADC5" s="130"/>
      <c r="ADD5" s="130"/>
      <c r="ADE5" s="130"/>
      <c r="ADF5" s="130"/>
      <c r="ADG5" s="130"/>
      <c r="ADH5" s="130"/>
      <c r="ADI5" s="130"/>
      <c r="ADJ5" s="130"/>
      <c r="ADK5" s="130"/>
      <c r="ADL5" s="130"/>
      <c r="ADM5" s="130"/>
      <c r="ADN5" s="130"/>
      <c r="ADO5" s="130"/>
      <c r="ADP5" s="130"/>
      <c r="ADQ5" s="130"/>
      <c r="ADR5" s="130"/>
      <c r="ADS5" s="130"/>
      <c r="ADT5" s="130"/>
      <c r="ADU5" s="130"/>
      <c r="ADV5" s="130"/>
      <c r="ADW5" s="130"/>
      <c r="ADX5" s="130"/>
      <c r="ADY5" s="130"/>
      <c r="ADZ5" s="130"/>
      <c r="AEA5" s="130"/>
      <c r="AEB5" s="130"/>
      <c r="AEC5" s="130"/>
      <c r="AED5" s="130"/>
      <c r="AEE5" s="130"/>
      <c r="AEF5" s="130"/>
      <c r="AEG5" s="130"/>
      <c r="AEH5" s="130"/>
      <c r="AEI5" s="130"/>
      <c r="AEJ5" s="130"/>
      <c r="AEK5" s="130"/>
      <c r="AEL5" s="130"/>
      <c r="AEM5" s="130"/>
      <c r="AEN5" s="130"/>
      <c r="AEO5" s="130"/>
      <c r="AEP5" s="130"/>
      <c r="AEQ5" s="130"/>
      <c r="AER5" s="130"/>
      <c r="AES5" s="130"/>
      <c r="AET5" s="130"/>
      <c r="AEU5" s="130"/>
      <c r="AEV5" s="130"/>
      <c r="AEW5" s="130"/>
      <c r="AEX5" s="130"/>
      <c r="AEY5" s="130"/>
      <c r="AEZ5" s="130"/>
      <c r="AFA5" s="130"/>
      <c r="AFB5" s="130"/>
      <c r="AFC5" s="130"/>
      <c r="AFD5" s="130"/>
      <c r="AFE5" s="130"/>
      <c r="AFF5" s="130"/>
      <c r="AFG5" s="130"/>
      <c r="AFH5" s="130"/>
      <c r="AFI5" s="130"/>
      <c r="AFJ5" s="130"/>
      <c r="AFK5" s="130"/>
      <c r="AFL5" s="130"/>
      <c r="AFM5" s="130"/>
      <c r="AFN5" s="130"/>
      <c r="AFO5" s="130"/>
      <c r="AFP5" s="130"/>
      <c r="AFQ5" s="130"/>
      <c r="AFR5" s="130"/>
      <c r="AFS5" s="130"/>
      <c r="AFT5" s="130"/>
      <c r="AFU5" s="130"/>
      <c r="AFV5" s="130"/>
      <c r="AFW5" s="130"/>
      <c r="AFX5" s="130"/>
      <c r="AFY5" s="130"/>
      <c r="AFZ5" s="130"/>
      <c r="AGA5" s="130"/>
      <c r="AGB5" s="130"/>
      <c r="AGC5" s="130"/>
      <c r="AGD5" s="130"/>
      <c r="AGE5" s="130"/>
      <c r="AGF5" s="130"/>
      <c r="AGG5" s="130"/>
      <c r="AGH5" s="130"/>
      <c r="AGI5" s="130"/>
      <c r="AGJ5" s="130"/>
      <c r="AGK5" s="130"/>
      <c r="AGL5" s="130"/>
      <c r="AGM5" s="130"/>
      <c r="AGN5" s="130"/>
      <c r="AGO5" s="130"/>
      <c r="AGP5" s="130"/>
      <c r="AGQ5" s="130"/>
      <c r="AGR5" s="130"/>
      <c r="AGS5" s="130"/>
      <c r="AGT5" s="130"/>
      <c r="AGU5" s="130"/>
      <c r="AGV5" s="130"/>
      <c r="AGW5" s="130"/>
      <c r="AGX5" s="130"/>
      <c r="AGY5" s="130"/>
      <c r="AGZ5" s="130"/>
      <c r="AHA5" s="130"/>
      <c r="AHB5" s="130"/>
      <c r="AHC5" s="130"/>
      <c r="AHD5" s="130"/>
      <c r="AHE5" s="130"/>
      <c r="AHF5" s="130"/>
      <c r="AHG5" s="130"/>
      <c r="AHH5" s="130"/>
      <c r="AHI5" s="130"/>
      <c r="AHJ5" s="130"/>
      <c r="AHK5" s="130"/>
      <c r="AHL5" s="130"/>
      <c r="AHM5" s="130"/>
      <c r="AHN5" s="130"/>
      <c r="AHO5" s="130"/>
      <c r="AHP5" s="130"/>
      <c r="AHQ5" s="130"/>
      <c r="AHR5" s="130"/>
      <c r="AHS5" s="130"/>
      <c r="AHT5" s="130"/>
      <c r="AHU5" s="130"/>
      <c r="AHV5" s="130"/>
      <c r="AHW5" s="130"/>
      <c r="AHX5" s="130"/>
      <c r="AHY5" s="130"/>
      <c r="AHZ5" s="130"/>
      <c r="AIA5" s="130"/>
      <c r="AIB5" s="130"/>
      <c r="AIC5" s="130"/>
      <c r="AID5" s="130"/>
      <c r="AIE5" s="130"/>
      <c r="AIF5" s="130"/>
      <c r="AIG5" s="130"/>
      <c r="AIH5" s="130"/>
      <c r="AII5" s="130"/>
      <c r="AIJ5" s="130"/>
      <c r="AIK5" s="130"/>
      <c r="AIL5" s="130"/>
      <c r="AIM5" s="130"/>
      <c r="AIN5" s="130"/>
      <c r="AIO5" s="130"/>
      <c r="AIP5" s="130"/>
      <c r="AIQ5" s="130"/>
      <c r="AIR5" s="130"/>
      <c r="AIS5" s="130"/>
      <c r="AIT5" s="130"/>
      <c r="AIU5" s="130"/>
      <c r="AIV5" s="130"/>
      <c r="AIW5" s="130"/>
      <c r="AIX5" s="130"/>
      <c r="AIY5" s="130"/>
      <c r="AIZ5" s="130"/>
      <c r="AJA5" s="130"/>
      <c r="AJB5" s="130"/>
      <c r="AJC5" s="130"/>
      <c r="AJD5" s="130"/>
      <c r="AJE5" s="130"/>
      <c r="AJF5" s="130"/>
      <c r="AJG5" s="130"/>
      <c r="AJH5" s="130"/>
      <c r="AJI5" s="130"/>
      <c r="AJJ5" s="130"/>
      <c r="AJK5" s="130"/>
      <c r="AJL5" s="130"/>
      <c r="AJM5" s="130"/>
      <c r="AJN5" s="130"/>
      <c r="AJO5" s="130"/>
      <c r="AJP5" s="130"/>
      <c r="AJQ5" s="130"/>
      <c r="AJR5" s="130"/>
      <c r="AJS5" s="130"/>
      <c r="AJT5" s="130"/>
      <c r="AJU5" s="130"/>
      <c r="AJV5" s="130"/>
      <c r="AJW5" s="130"/>
      <c r="AJX5" s="130"/>
      <c r="AJY5" s="130"/>
      <c r="AJZ5" s="130"/>
      <c r="AKA5" s="130"/>
      <c r="AKB5" s="130"/>
      <c r="AKC5" s="130"/>
      <c r="AKD5" s="130"/>
      <c r="AKE5" s="130"/>
      <c r="AKF5" s="130"/>
      <c r="AKG5" s="130"/>
      <c r="AKH5" s="130"/>
      <c r="AKI5" s="130"/>
      <c r="AKJ5" s="130"/>
      <c r="AKK5" s="130"/>
      <c r="AKL5" s="130"/>
      <c r="AKM5" s="130"/>
      <c r="AKN5" s="130"/>
      <c r="AKO5" s="130"/>
      <c r="AKP5" s="130"/>
      <c r="AKQ5" s="130"/>
      <c r="AKR5" s="130"/>
      <c r="AKS5" s="130"/>
      <c r="AKT5" s="130"/>
      <c r="AKU5" s="130"/>
      <c r="AKV5" s="130"/>
      <c r="AKW5" s="130"/>
      <c r="AKX5" s="130"/>
      <c r="AKY5" s="130"/>
      <c r="AKZ5" s="130"/>
      <c r="ALA5" s="130"/>
      <c r="ALB5" s="130"/>
      <c r="ALC5" s="130"/>
      <c r="ALD5" s="130"/>
      <c r="ALE5" s="130"/>
      <c r="ALF5" s="130"/>
      <c r="ALG5" s="130"/>
      <c r="ALH5" s="130"/>
      <c r="ALI5" s="130"/>
      <c r="ALJ5" s="130"/>
      <c r="ALK5" s="130"/>
      <c r="ALL5" s="130"/>
      <c r="ALM5" s="130"/>
      <c r="ALN5" s="130"/>
      <c r="ALO5" s="130"/>
      <c r="ALP5" s="130"/>
      <c r="ALQ5" s="130"/>
      <c r="ALR5" s="130"/>
      <c r="ALS5" s="130"/>
      <c r="ALT5" s="130"/>
      <c r="ALU5" s="130"/>
      <c r="ALV5" s="130"/>
      <c r="ALW5" s="130"/>
      <c r="ALX5" s="130"/>
      <c r="ALY5" s="130"/>
      <c r="ALZ5" s="130"/>
      <c r="AMA5" s="130"/>
      <c r="AMB5" s="130"/>
      <c r="AMC5" s="130"/>
      <c r="AMD5" s="130"/>
      <c r="AME5" s="130"/>
      <c r="AMF5" s="130"/>
      <c r="AMG5" s="130"/>
      <c r="AMH5" s="130"/>
      <c r="AMI5" s="130"/>
      <c r="AMJ5" s="130"/>
      <c r="AMK5" s="130"/>
      <c r="AML5" s="130"/>
      <c r="AMM5" s="130"/>
      <c r="AMN5" s="130"/>
      <c r="AMO5" s="130"/>
      <c r="AMP5" s="130"/>
      <c r="AMQ5" s="130"/>
      <c r="AMR5" s="130"/>
      <c r="AMS5" s="130"/>
      <c r="AMT5" s="130"/>
      <c r="AMU5" s="130"/>
      <c r="AMV5" s="130"/>
      <c r="AMW5" s="130"/>
      <c r="AMX5" s="130"/>
      <c r="AMY5" s="130"/>
      <c r="AMZ5" s="130"/>
      <c r="ANA5" s="130"/>
      <c r="ANB5" s="130"/>
      <c r="ANC5" s="130"/>
      <c r="AND5" s="130"/>
      <c r="ANE5" s="130"/>
      <c r="ANF5" s="130"/>
      <c r="ANG5" s="130"/>
      <c r="ANH5" s="130"/>
      <c r="ANI5" s="130"/>
      <c r="ANJ5" s="130"/>
      <c r="ANK5" s="130"/>
      <c r="ANL5" s="130"/>
      <c r="ANM5" s="130"/>
      <c r="ANN5" s="130"/>
      <c r="ANO5" s="130"/>
      <c r="ANP5" s="130"/>
      <c r="ANQ5" s="130"/>
      <c r="ANR5" s="130"/>
      <c r="ANS5" s="130"/>
      <c r="ANT5" s="130"/>
      <c r="ANU5" s="130"/>
      <c r="ANV5" s="130"/>
      <c r="ANW5" s="130"/>
      <c r="ANX5" s="130"/>
      <c r="ANY5" s="130"/>
      <c r="ANZ5" s="130"/>
      <c r="AOA5" s="130"/>
      <c r="AOB5" s="130"/>
      <c r="AOC5" s="130"/>
      <c r="AOD5" s="130"/>
      <c r="AOE5" s="130"/>
      <c r="AOF5" s="130"/>
      <c r="AOG5" s="130"/>
      <c r="AOH5" s="130"/>
      <c r="AOI5" s="130"/>
      <c r="AOJ5" s="130"/>
      <c r="AOK5" s="130"/>
      <c r="AOL5" s="130"/>
      <c r="AOM5" s="130"/>
      <c r="AON5" s="130"/>
      <c r="AOO5" s="130"/>
      <c r="AOP5" s="130"/>
      <c r="AOQ5" s="130"/>
      <c r="AOR5" s="130"/>
      <c r="AOS5" s="130"/>
      <c r="AOT5" s="130"/>
      <c r="AOU5" s="130"/>
      <c r="AOV5" s="130"/>
      <c r="AOW5" s="130"/>
      <c r="AOX5" s="130"/>
      <c r="AOY5" s="130"/>
      <c r="AOZ5" s="130"/>
      <c r="APA5" s="130"/>
      <c r="APB5" s="130"/>
      <c r="APC5" s="130"/>
      <c r="APD5" s="130"/>
      <c r="APE5" s="130"/>
      <c r="APF5" s="130"/>
      <c r="APG5" s="130"/>
      <c r="APH5" s="130"/>
      <c r="API5" s="130"/>
      <c r="APJ5" s="130"/>
      <c r="APK5" s="130"/>
      <c r="APL5" s="130"/>
      <c r="APM5" s="130"/>
      <c r="APN5" s="130"/>
      <c r="APO5" s="130"/>
      <c r="APP5" s="130"/>
      <c r="APQ5" s="130"/>
      <c r="APR5" s="130"/>
      <c r="APS5" s="130"/>
      <c r="APT5" s="130"/>
      <c r="APU5" s="130"/>
      <c r="APV5" s="130"/>
      <c r="APW5" s="130"/>
      <c r="APX5" s="130"/>
      <c r="APY5" s="130"/>
      <c r="APZ5" s="130"/>
      <c r="AQA5" s="130"/>
      <c r="AQB5" s="130"/>
      <c r="AQC5" s="130"/>
      <c r="AQD5" s="130"/>
      <c r="AQE5" s="130"/>
      <c r="AQF5" s="130"/>
      <c r="AQG5" s="130"/>
      <c r="AQH5" s="130"/>
      <c r="AQI5" s="130"/>
      <c r="AQJ5" s="130"/>
      <c r="AQK5" s="130"/>
      <c r="AQL5" s="130"/>
      <c r="AQM5" s="130"/>
      <c r="AQN5" s="130"/>
      <c r="AQO5" s="130"/>
      <c r="AQP5" s="130"/>
      <c r="AQQ5" s="130"/>
      <c r="AQR5" s="130"/>
      <c r="AQS5" s="130"/>
      <c r="AQT5" s="130"/>
      <c r="AQU5" s="130"/>
      <c r="AQV5" s="130"/>
      <c r="AQW5" s="130"/>
      <c r="AQX5" s="130"/>
      <c r="AQY5" s="130"/>
      <c r="AQZ5" s="130"/>
      <c r="ARA5" s="130"/>
      <c r="ARB5" s="130"/>
      <c r="ARC5" s="130"/>
      <c r="ARD5" s="130"/>
      <c r="ARE5" s="130"/>
      <c r="ARF5" s="130"/>
      <c r="ARG5" s="130"/>
      <c r="ARH5" s="130"/>
      <c r="ARI5" s="130"/>
      <c r="ARJ5" s="130"/>
      <c r="ARK5" s="130"/>
      <c r="ARL5" s="130"/>
      <c r="ARM5" s="130"/>
      <c r="ARN5" s="130"/>
      <c r="ARO5" s="130"/>
      <c r="ARP5" s="130"/>
      <c r="ARQ5" s="130"/>
      <c r="ARR5" s="130"/>
      <c r="ARS5" s="130"/>
      <c r="ART5" s="130"/>
      <c r="ARU5" s="130"/>
      <c r="ARV5" s="130"/>
      <c r="ARW5" s="130"/>
      <c r="ARX5" s="130"/>
      <c r="ARY5" s="130"/>
      <c r="ARZ5" s="130"/>
      <c r="ASA5" s="130"/>
      <c r="ASB5" s="130"/>
      <c r="ASC5" s="130"/>
      <c r="ASD5" s="130"/>
      <c r="ASE5" s="130"/>
      <c r="ASF5" s="130"/>
      <c r="ASG5" s="130"/>
      <c r="ASH5" s="130"/>
      <c r="ASI5" s="130"/>
      <c r="ASJ5" s="130"/>
      <c r="ASK5" s="130"/>
      <c r="ASL5" s="130"/>
      <c r="ASM5" s="130"/>
      <c r="ASN5" s="130"/>
      <c r="ASO5" s="130"/>
      <c r="ASP5" s="130"/>
      <c r="ASQ5" s="130"/>
      <c r="ASR5" s="130"/>
      <c r="ASS5" s="130"/>
      <c r="AST5" s="130"/>
      <c r="ASU5" s="130"/>
      <c r="ASV5" s="130"/>
      <c r="ASW5" s="130"/>
      <c r="ASX5" s="130"/>
      <c r="ASY5" s="130"/>
      <c r="ASZ5" s="130"/>
      <c r="ATA5" s="130"/>
      <c r="ATB5" s="130"/>
      <c r="ATC5" s="130"/>
      <c r="ATD5" s="130"/>
      <c r="ATE5" s="130"/>
      <c r="ATF5" s="130"/>
      <c r="ATG5" s="130"/>
      <c r="ATH5" s="130"/>
      <c r="ATI5" s="130"/>
      <c r="ATJ5" s="130"/>
      <c r="ATK5" s="130"/>
      <c r="ATL5" s="130"/>
      <c r="ATM5" s="130"/>
      <c r="ATN5" s="130"/>
      <c r="ATO5" s="130"/>
      <c r="ATP5" s="130"/>
      <c r="ATQ5" s="130"/>
      <c r="ATR5" s="130"/>
      <c r="ATS5" s="130"/>
      <c r="ATT5" s="130"/>
      <c r="ATU5" s="130"/>
      <c r="ATV5" s="130"/>
      <c r="ATW5" s="130"/>
      <c r="ATX5" s="130"/>
      <c r="ATY5" s="130"/>
      <c r="ATZ5" s="130"/>
      <c r="AUA5" s="130"/>
      <c r="AUB5" s="130"/>
      <c r="AUC5" s="130"/>
      <c r="AUD5" s="130"/>
      <c r="AUE5" s="130"/>
      <c r="AUF5" s="130"/>
      <c r="AUG5" s="130"/>
      <c r="AUH5" s="130"/>
      <c r="AUI5" s="130"/>
      <c r="AUJ5" s="130"/>
      <c r="AUK5" s="130"/>
      <c r="AUL5" s="130"/>
      <c r="AUM5" s="130"/>
      <c r="AUN5" s="130"/>
      <c r="AUO5" s="130"/>
      <c r="AUP5" s="130"/>
      <c r="AUQ5" s="130"/>
      <c r="AUR5" s="130"/>
      <c r="AUS5" s="130"/>
      <c r="AUT5" s="130"/>
      <c r="AUU5" s="130"/>
      <c r="AUV5" s="130"/>
      <c r="AUW5" s="130"/>
      <c r="AUX5" s="130"/>
      <c r="AUY5" s="130"/>
      <c r="AUZ5" s="130"/>
      <c r="AVA5" s="130"/>
      <c r="AVB5" s="130"/>
      <c r="AVC5" s="130"/>
      <c r="AVD5" s="130"/>
      <c r="AVE5" s="130"/>
      <c r="AVF5" s="130"/>
      <c r="AVG5" s="130"/>
      <c r="AVH5" s="130"/>
      <c r="AVI5" s="130"/>
      <c r="AVJ5" s="130"/>
      <c r="AVK5" s="130"/>
      <c r="AVL5" s="130"/>
      <c r="AVM5" s="130"/>
      <c r="AVN5" s="130"/>
      <c r="AVO5" s="130"/>
      <c r="AVP5" s="130"/>
      <c r="AVQ5" s="130"/>
      <c r="AVR5" s="130"/>
      <c r="AVS5" s="130"/>
      <c r="AVT5" s="130"/>
      <c r="AVU5" s="130"/>
      <c r="AVV5" s="130"/>
      <c r="AVW5" s="130"/>
      <c r="AVX5" s="130"/>
      <c r="AVY5" s="130"/>
      <c r="AVZ5" s="130"/>
      <c r="AWA5" s="130"/>
      <c r="AWB5" s="130"/>
      <c r="AWC5" s="130"/>
      <c r="AWD5" s="130"/>
      <c r="AWE5" s="130"/>
      <c r="AWF5" s="130"/>
      <c r="AWG5" s="130"/>
      <c r="AWH5" s="130"/>
      <c r="AWI5" s="130"/>
      <c r="AWJ5" s="130"/>
      <c r="AWK5" s="130"/>
      <c r="AWL5" s="130"/>
      <c r="AWM5" s="130"/>
      <c r="AWN5" s="130"/>
      <c r="AWO5" s="130"/>
      <c r="AWP5" s="130"/>
      <c r="AWQ5" s="130"/>
      <c r="AWR5" s="130"/>
      <c r="AWS5" s="130"/>
      <c r="AWT5" s="130"/>
      <c r="AWU5" s="130"/>
      <c r="AWV5" s="130"/>
      <c r="AWW5" s="130"/>
      <c r="AWX5" s="130"/>
      <c r="AWY5" s="130"/>
      <c r="AWZ5" s="130"/>
      <c r="AXA5" s="130"/>
      <c r="AXB5" s="130"/>
      <c r="AXC5" s="130"/>
      <c r="AXD5" s="130"/>
      <c r="AXE5" s="130"/>
      <c r="AXF5" s="130"/>
      <c r="AXG5" s="130"/>
      <c r="AXH5" s="130"/>
      <c r="AXI5" s="130"/>
      <c r="AXJ5" s="130"/>
      <c r="AXK5" s="130"/>
      <c r="AXL5" s="130"/>
      <c r="AXM5" s="130"/>
      <c r="AXN5" s="130"/>
      <c r="AXO5" s="130"/>
      <c r="AXP5" s="130"/>
      <c r="AXQ5" s="130"/>
      <c r="AXR5" s="130"/>
      <c r="AXS5" s="130"/>
      <c r="AXT5" s="130"/>
      <c r="AXU5" s="130"/>
      <c r="AXV5" s="130"/>
      <c r="AXW5" s="130"/>
      <c r="AXX5" s="130"/>
      <c r="AXY5" s="130"/>
      <c r="AXZ5" s="130"/>
      <c r="AYA5" s="130"/>
      <c r="AYB5" s="130"/>
      <c r="AYC5" s="130"/>
      <c r="AYD5" s="130"/>
      <c r="AYE5" s="130"/>
      <c r="AYF5" s="130"/>
      <c r="AYG5" s="130"/>
      <c r="AYH5" s="130"/>
      <c r="AYI5" s="130"/>
      <c r="AYJ5" s="130"/>
      <c r="AYK5" s="130"/>
      <c r="AYL5" s="130"/>
      <c r="AYM5" s="130"/>
      <c r="AYN5" s="130"/>
      <c r="AYO5" s="130"/>
      <c r="AYP5" s="130"/>
      <c r="AYQ5" s="130"/>
      <c r="AYR5" s="130"/>
      <c r="AYS5" s="130"/>
      <c r="AYT5" s="130"/>
      <c r="AYU5" s="130"/>
      <c r="AYV5" s="130"/>
      <c r="AYW5" s="130"/>
      <c r="AYX5" s="130"/>
      <c r="AYY5" s="130"/>
      <c r="AYZ5" s="130"/>
      <c r="AZA5" s="130"/>
      <c r="AZB5" s="130"/>
      <c r="AZC5" s="130"/>
      <c r="AZD5" s="130"/>
      <c r="AZE5" s="130"/>
      <c r="AZF5" s="130"/>
      <c r="AZG5" s="130"/>
      <c r="AZH5" s="130"/>
      <c r="AZI5" s="130"/>
      <c r="AZJ5" s="130"/>
      <c r="AZK5" s="130"/>
      <c r="AZL5" s="130"/>
      <c r="AZM5" s="130"/>
      <c r="AZN5" s="130"/>
      <c r="AZO5" s="130"/>
      <c r="AZP5" s="130"/>
      <c r="AZQ5" s="130"/>
      <c r="AZR5" s="130"/>
      <c r="AZS5" s="130"/>
      <c r="AZT5" s="130"/>
      <c r="AZU5" s="130"/>
      <c r="AZV5" s="130"/>
      <c r="AZW5" s="130"/>
      <c r="AZX5" s="130"/>
      <c r="AZY5" s="130"/>
      <c r="AZZ5" s="130"/>
      <c r="BAA5" s="130"/>
      <c r="BAB5" s="130"/>
      <c r="BAC5" s="130"/>
      <c r="BAD5" s="130"/>
      <c r="BAE5" s="130"/>
      <c r="BAF5" s="130"/>
      <c r="BAG5" s="130"/>
      <c r="BAH5" s="130"/>
      <c r="BAI5" s="130"/>
      <c r="BAJ5" s="130"/>
      <c r="BAK5" s="130"/>
      <c r="BAL5" s="130"/>
      <c r="BAM5" s="130"/>
      <c r="BAN5" s="130"/>
      <c r="BAO5" s="130"/>
      <c r="BAP5" s="130"/>
      <c r="BAQ5" s="130"/>
      <c r="BAR5" s="130"/>
      <c r="BAS5" s="130"/>
      <c r="BAT5" s="130"/>
    </row>
    <row r="6" spans="1:1398" s="41" customFormat="1" ht="20.149999999999999" customHeight="1" x14ac:dyDescent="0.35">
      <c r="A6" s="48">
        <v>2</v>
      </c>
      <c r="B6" s="27" t="s">
        <v>190</v>
      </c>
      <c r="C6" s="31">
        <v>43502</v>
      </c>
      <c r="D6" s="15" t="s">
        <v>191</v>
      </c>
      <c r="E6" s="15">
        <v>20.9</v>
      </c>
      <c r="F6" s="15">
        <v>116.5</v>
      </c>
      <c r="G6" s="74">
        <f>E6/(F6/100)^2</f>
        <v>15.399067951150323</v>
      </c>
      <c r="H6" s="48" t="s">
        <v>65</v>
      </c>
      <c r="I6" s="50" t="s">
        <v>65</v>
      </c>
      <c r="J6" s="48" t="s">
        <v>65</v>
      </c>
      <c r="K6" s="133" t="s">
        <v>17</v>
      </c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  <c r="AK6" s="130"/>
      <c r="AL6" s="130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0"/>
      <c r="AY6" s="130"/>
      <c r="AZ6" s="130"/>
      <c r="BA6" s="130"/>
      <c r="BB6" s="130"/>
      <c r="BC6" s="130"/>
      <c r="BD6" s="130"/>
      <c r="BE6" s="130"/>
      <c r="BF6" s="130"/>
      <c r="BG6" s="130"/>
      <c r="BH6" s="130"/>
      <c r="BI6" s="130"/>
      <c r="BJ6" s="130"/>
      <c r="BK6" s="130"/>
      <c r="BL6" s="130"/>
      <c r="BM6" s="130"/>
      <c r="BN6" s="130"/>
      <c r="BO6" s="130"/>
      <c r="BP6" s="130"/>
      <c r="BQ6" s="130"/>
      <c r="BR6" s="130"/>
      <c r="BS6" s="130"/>
      <c r="BT6" s="130"/>
      <c r="BU6" s="130"/>
      <c r="BV6" s="130"/>
      <c r="BW6" s="130"/>
      <c r="BX6" s="130"/>
      <c r="BY6" s="130"/>
      <c r="BZ6" s="130"/>
      <c r="CA6" s="130"/>
      <c r="CB6" s="130"/>
      <c r="CC6" s="130"/>
      <c r="CD6" s="130"/>
      <c r="CE6" s="130"/>
      <c r="CF6" s="130"/>
      <c r="CG6" s="130"/>
      <c r="CH6" s="130"/>
      <c r="CI6" s="130"/>
      <c r="CJ6" s="130"/>
      <c r="CK6" s="130"/>
      <c r="CL6" s="130"/>
      <c r="CM6" s="130"/>
      <c r="CN6" s="130"/>
      <c r="CO6" s="130"/>
      <c r="CP6" s="130"/>
      <c r="CQ6" s="130"/>
      <c r="CR6" s="130"/>
      <c r="CS6" s="130"/>
      <c r="CT6" s="130"/>
      <c r="CU6" s="130"/>
      <c r="CV6" s="130"/>
      <c r="CW6" s="130"/>
      <c r="CX6" s="130"/>
      <c r="CY6" s="130"/>
      <c r="CZ6" s="130"/>
      <c r="DA6" s="130"/>
      <c r="DB6" s="130"/>
      <c r="DC6" s="130"/>
      <c r="DD6" s="130"/>
      <c r="DE6" s="130"/>
      <c r="DF6" s="130"/>
      <c r="DG6" s="130"/>
      <c r="DH6" s="130"/>
      <c r="DI6" s="130"/>
      <c r="DJ6" s="130"/>
      <c r="DK6" s="130"/>
      <c r="DL6" s="130"/>
      <c r="DM6" s="130"/>
      <c r="DN6" s="130"/>
      <c r="DO6" s="130"/>
      <c r="DP6" s="130"/>
      <c r="DQ6" s="130"/>
      <c r="DR6" s="130"/>
      <c r="DS6" s="130"/>
      <c r="DT6" s="130"/>
      <c r="DU6" s="130"/>
      <c r="DV6" s="130"/>
      <c r="DW6" s="130"/>
      <c r="DX6" s="130"/>
      <c r="DY6" s="130"/>
      <c r="DZ6" s="130"/>
      <c r="EA6" s="130"/>
      <c r="EB6" s="130"/>
      <c r="EC6" s="130"/>
      <c r="ED6" s="130"/>
      <c r="EE6" s="130"/>
      <c r="EF6" s="130"/>
      <c r="EG6" s="130"/>
      <c r="EH6" s="130"/>
      <c r="EI6" s="130"/>
      <c r="EJ6" s="130"/>
      <c r="EK6" s="130"/>
      <c r="EL6" s="130"/>
      <c r="EM6" s="130"/>
      <c r="EN6" s="130"/>
      <c r="EO6" s="130"/>
      <c r="EP6" s="130"/>
      <c r="EQ6" s="130"/>
      <c r="ER6" s="130"/>
      <c r="ES6" s="130"/>
      <c r="ET6" s="130"/>
      <c r="EU6" s="130"/>
      <c r="EV6" s="130"/>
      <c r="EW6" s="130"/>
      <c r="EX6" s="130"/>
      <c r="EY6" s="130"/>
      <c r="EZ6" s="130"/>
      <c r="FA6" s="130"/>
      <c r="FB6" s="130"/>
      <c r="FC6" s="130"/>
      <c r="FD6" s="130"/>
      <c r="FE6" s="130"/>
      <c r="FF6" s="130"/>
      <c r="FG6" s="130"/>
      <c r="FH6" s="130"/>
      <c r="FI6" s="130"/>
      <c r="FJ6" s="130"/>
      <c r="FK6" s="130"/>
      <c r="FL6" s="130"/>
      <c r="FM6" s="130"/>
      <c r="FN6" s="130"/>
      <c r="FO6" s="130"/>
      <c r="FP6" s="130"/>
      <c r="FQ6" s="130"/>
      <c r="FR6" s="130"/>
      <c r="FS6" s="130"/>
      <c r="FT6" s="130"/>
      <c r="FU6" s="130"/>
      <c r="FV6" s="130"/>
      <c r="FW6" s="130"/>
      <c r="FX6" s="130"/>
      <c r="FY6" s="130"/>
      <c r="FZ6" s="130"/>
      <c r="GA6" s="130"/>
      <c r="GB6" s="130"/>
      <c r="GC6" s="130"/>
      <c r="GD6" s="130"/>
      <c r="GE6" s="130"/>
      <c r="GF6" s="130"/>
      <c r="GG6" s="130"/>
      <c r="GH6" s="130"/>
      <c r="GI6" s="130"/>
      <c r="GJ6" s="130"/>
      <c r="GK6" s="130"/>
      <c r="GL6" s="130"/>
      <c r="GM6" s="130"/>
      <c r="GN6" s="130"/>
      <c r="GO6" s="130"/>
      <c r="GP6" s="130"/>
      <c r="GQ6" s="130"/>
      <c r="GR6" s="130"/>
      <c r="GS6" s="130"/>
      <c r="GT6" s="130"/>
      <c r="GU6" s="130"/>
      <c r="GV6" s="130"/>
      <c r="GW6" s="130"/>
      <c r="GX6" s="130"/>
      <c r="GY6" s="130"/>
      <c r="GZ6" s="130"/>
      <c r="HA6" s="130"/>
      <c r="HB6" s="130"/>
      <c r="HC6" s="130"/>
      <c r="HD6" s="130"/>
      <c r="HE6" s="130"/>
      <c r="HF6" s="130"/>
      <c r="HG6" s="130"/>
      <c r="HH6" s="130"/>
      <c r="HI6" s="130"/>
      <c r="HJ6" s="130"/>
      <c r="HK6" s="130"/>
      <c r="HL6" s="130"/>
      <c r="HM6" s="130"/>
      <c r="HN6" s="130"/>
      <c r="HO6" s="130"/>
      <c r="HP6" s="130"/>
      <c r="HQ6" s="130"/>
      <c r="HR6" s="130"/>
      <c r="HS6" s="130"/>
      <c r="HT6" s="130"/>
      <c r="HU6" s="130"/>
      <c r="HV6" s="130"/>
      <c r="HW6" s="130"/>
      <c r="HX6" s="130"/>
      <c r="HY6" s="130"/>
      <c r="HZ6" s="130"/>
      <c r="IA6" s="130"/>
      <c r="IB6" s="130"/>
      <c r="IC6" s="130"/>
      <c r="ID6" s="130"/>
      <c r="IE6" s="130"/>
      <c r="IF6" s="130"/>
      <c r="IG6" s="130"/>
      <c r="IH6" s="130"/>
      <c r="II6" s="130"/>
      <c r="IJ6" s="130"/>
      <c r="IK6" s="130"/>
      <c r="IL6" s="130"/>
      <c r="IM6" s="130"/>
      <c r="IN6" s="130"/>
      <c r="IO6" s="130"/>
      <c r="IP6" s="130"/>
      <c r="IQ6" s="130"/>
      <c r="IR6" s="130"/>
      <c r="IS6" s="130"/>
      <c r="IT6" s="130"/>
      <c r="IU6" s="130"/>
      <c r="IV6" s="130"/>
      <c r="IW6" s="130"/>
      <c r="IX6" s="130"/>
      <c r="IY6" s="130"/>
      <c r="IZ6" s="130"/>
      <c r="JA6" s="130"/>
      <c r="JB6" s="130"/>
      <c r="JC6" s="130"/>
      <c r="JD6" s="130"/>
      <c r="JE6" s="130"/>
      <c r="JF6" s="130"/>
      <c r="JG6" s="130"/>
      <c r="JH6" s="130"/>
      <c r="JI6" s="130"/>
      <c r="JJ6" s="130"/>
      <c r="JK6" s="130"/>
      <c r="JL6" s="130"/>
      <c r="JM6" s="130"/>
      <c r="JN6" s="130"/>
      <c r="JO6" s="130"/>
      <c r="JP6" s="130"/>
      <c r="JQ6" s="130"/>
      <c r="JR6" s="130"/>
      <c r="JS6" s="130"/>
      <c r="JT6" s="130"/>
      <c r="JU6" s="130"/>
      <c r="JV6" s="130"/>
      <c r="JW6" s="130"/>
      <c r="JX6" s="130"/>
      <c r="JY6" s="130"/>
      <c r="JZ6" s="130"/>
      <c r="KA6" s="130"/>
      <c r="KB6" s="130"/>
      <c r="KC6" s="130"/>
      <c r="KD6" s="130"/>
      <c r="KE6" s="130"/>
      <c r="KF6" s="130"/>
      <c r="KG6" s="130"/>
      <c r="KH6" s="130"/>
      <c r="KI6" s="130"/>
      <c r="KJ6" s="130"/>
      <c r="KK6" s="130"/>
      <c r="KL6" s="130"/>
      <c r="KM6" s="130"/>
      <c r="KN6" s="130"/>
      <c r="KO6" s="130"/>
      <c r="KP6" s="130"/>
      <c r="KQ6" s="130"/>
      <c r="KR6" s="130"/>
      <c r="KS6" s="130"/>
      <c r="KT6" s="130"/>
      <c r="KU6" s="130"/>
      <c r="KV6" s="130"/>
      <c r="KW6" s="130"/>
      <c r="KX6" s="130"/>
      <c r="KY6" s="130"/>
      <c r="KZ6" s="130"/>
      <c r="LA6" s="130"/>
      <c r="LB6" s="130"/>
      <c r="LC6" s="130"/>
      <c r="LD6" s="130"/>
      <c r="LE6" s="130"/>
      <c r="LF6" s="130"/>
      <c r="LG6" s="130"/>
      <c r="LH6" s="130"/>
      <c r="LI6" s="130"/>
      <c r="LJ6" s="130"/>
      <c r="LK6" s="130"/>
      <c r="LL6" s="130"/>
      <c r="LM6" s="130"/>
      <c r="LN6" s="130"/>
      <c r="LO6" s="130"/>
      <c r="LP6" s="130"/>
      <c r="LQ6" s="130"/>
      <c r="LR6" s="130"/>
      <c r="LS6" s="130"/>
      <c r="LT6" s="130"/>
      <c r="LU6" s="130"/>
      <c r="LV6" s="130"/>
      <c r="LW6" s="130"/>
      <c r="LX6" s="130"/>
      <c r="LY6" s="130"/>
      <c r="LZ6" s="130"/>
      <c r="MA6" s="130"/>
      <c r="MB6" s="130"/>
      <c r="MC6" s="130"/>
      <c r="MD6" s="130"/>
      <c r="ME6" s="130"/>
      <c r="MF6" s="130"/>
      <c r="MG6" s="130"/>
      <c r="MH6" s="130"/>
      <c r="MI6" s="130"/>
      <c r="MJ6" s="130"/>
      <c r="MK6" s="130"/>
      <c r="ML6" s="130"/>
      <c r="MM6" s="130"/>
      <c r="MN6" s="130"/>
      <c r="MO6" s="130"/>
      <c r="MP6" s="130"/>
      <c r="MQ6" s="130"/>
      <c r="MR6" s="130"/>
      <c r="MS6" s="130"/>
      <c r="MT6" s="130"/>
      <c r="MU6" s="130"/>
      <c r="MV6" s="130"/>
      <c r="MW6" s="130"/>
      <c r="MX6" s="130"/>
      <c r="MY6" s="130"/>
      <c r="MZ6" s="130"/>
      <c r="NA6" s="130"/>
      <c r="NB6" s="130"/>
      <c r="NC6" s="130"/>
      <c r="ND6" s="130"/>
      <c r="NE6" s="130"/>
      <c r="NF6" s="130"/>
      <c r="NG6" s="130"/>
      <c r="NH6" s="130"/>
      <c r="NI6" s="130"/>
      <c r="NJ6" s="130"/>
      <c r="NK6" s="130"/>
      <c r="NL6" s="130"/>
      <c r="NM6" s="130"/>
      <c r="NN6" s="130"/>
      <c r="NO6" s="130"/>
      <c r="NP6" s="130"/>
      <c r="NQ6" s="130"/>
      <c r="NR6" s="130"/>
      <c r="NS6" s="130"/>
      <c r="NT6" s="130"/>
      <c r="NU6" s="130"/>
      <c r="NV6" s="130"/>
      <c r="NW6" s="130"/>
      <c r="NX6" s="130"/>
      <c r="NY6" s="130"/>
      <c r="NZ6" s="130"/>
      <c r="OA6" s="130"/>
      <c r="OB6" s="130"/>
      <c r="OC6" s="130"/>
      <c r="OD6" s="130"/>
      <c r="OE6" s="130"/>
      <c r="OF6" s="130"/>
      <c r="OG6" s="130"/>
      <c r="OH6" s="130"/>
      <c r="OI6" s="130"/>
      <c r="OJ6" s="130"/>
      <c r="OK6" s="130"/>
      <c r="OL6" s="130"/>
      <c r="OM6" s="130"/>
      <c r="ON6" s="130"/>
      <c r="OO6" s="130"/>
      <c r="OP6" s="130"/>
      <c r="OQ6" s="130"/>
      <c r="OR6" s="130"/>
      <c r="OS6" s="130"/>
      <c r="OT6" s="130"/>
      <c r="OU6" s="130"/>
      <c r="OV6" s="130"/>
      <c r="OW6" s="130"/>
      <c r="OX6" s="130"/>
      <c r="OY6" s="130"/>
      <c r="OZ6" s="130"/>
      <c r="PA6" s="130"/>
      <c r="PB6" s="130"/>
      <c r="PC6" s="130"/>
      <c r="PD6" s="130"/>
      <c r="PE6" s="130"/>
      <c r="PF6" s="130"/>
      <c r="PG6" s="130"/>
      <c r="PH6" s="130"/>
      <c r="PI6" s="130"/>
      <c r="PJ6" s="130"/>
      <c r="PK6" s="130"/>
      <c r="PL6" s="130"/>
      <c r="PM6" s="130"/>
      <c r="PN6" s="130"/>
      <c r="PO6" s="130"/>
      <c r="PP6" s="130"/>
      <c r="PQ6" s="130"/>
      <c r="PR6" s="130"/>
      <c r="PS6" s="130"/>
      <c r="PT6" s="130"/>
      <c r="PU6" s="130"/>
      <c r="PV6" s="130"/>
      <c r="PW6" s="130"/>
      <c r="PX6" s="130"/>
      <c r="PY6" s="130"/>
      <c r="PZ6" s="130"/>
      <c r="QA6" s="130"/>
      <c r="QB6" s="130"/>
      <c r="QC6" s="130"/>
      <c r="QD6" s="130"/>
      <c r="QE6" s="130"/>
      <c r="QF6" s="130"/>
      <c r="QG6" s="130"/>
      <c r="QH6" s="130"/>
      <c r="QI6" s="130"/>
      <c r="QJ6" s="130"/>
      <c r="QK6" s="130"/>
      <c r="QL6" s="130"/>
      <c r="QM6" s="130"/>
      <c r="QN6" s="130"/>
      <c r="QO6" s="130"/>
      <c r="QP6" s="130"/>
      <c r="QQ6" s="130"/>
      <c r="QR6" s="130"/>
      <c r="QS6" s="130"/>
      <c r="QT6" s="130"/>
      <c r="QU6" s="130"/>
      <c r="QV6" s="130"/>
      <c r="QW6" s="130"/>
      <c r="QX6" s="130"/>
      <c r="QY6" s="130"/>
      <c r="QZ6" s="130"/>
      <c r="RA6" s="130"/>
      <c r="RB6" s="130"/>
      <c r="RC6" s="130"/>
      <c r="RD6" s="130"/>
      <c r="RE6" s="130"/>
      <c r="RF6" s="130"/>
      <c r="RG6" s="130"/>
      <c r="RH6" s="130"/>
      <c r="RI6" s="130"/>
      <c r="RJ6" s="130"/>
      <c r="RK6" s="130"/>
      <c r="RL6" s="130"/>
      <c r="RM6" s="130"/>
      <c r="RN6" s="130"/>
      <c r="RO6" s="130"/>
      <c r="RP6" s="130"/>
      <c r="RQ6" s="130"/>
      <c r="RR6" s="130"/>
      <c r="RS6" s="130"/>
      <c r="RT6" s="130"/>
      <c r="RU6" s="130"/>
      <c r="RV6" s="130"/>
      <c r="RW6" s="130"/>
      <c r="RX6" s="130"/>
      <c r="RY6" s="130"/>
      <c r="RZ6" s="130"/>
      <c r="SA6" s="130"/>
      <c r="SB6" s="130"/>
      <c r="SC6" s="130"/>
      <c r="SD6" s="130"/>
      <c r="SE6" s="130"/>
      <c r="SF6" s="130"/>
      <c r="SG6" s="130"/>
      <c r="SH6" s="130"/>
      <c r="SI6" s="130"/>
      <c r="SJ6" s="130"/>
      <c r="SK6" s="130"/>
      <c r="SL6" s="130"/>
      <c r="SM6" s="130"/>
      <c r="SN6" s="130"/>
      <c r="SO6" s="130"/>
      <c r="SP6" s="130"/>
      <c r="SQ6" s="130"/>
      <c r="SR6" s="130"/>
      <c r="SS6" s="130"/>
      <c r="ST6" s="130"/>
      <c r="SU6" s="130"/>
      <c r="SV6" s="130"/>
      <c r="SW6" s="130"/>
      <c r="SX6" s="130"/>
      <c r="SY6" s="130"/>
      <c r="SZ6" s="130"/>
      <c r="TA6" s="130"/>
      <c r="TB6" s="130"/>
      <c r="TC6" s="130"/>
      <c r="TD6" s="130"/>
      <c r="TE6" s="130"/>
      <c r="TF6" s="130"/>
      <c r="TG6" s="130"/>
      <c r="TH6" s="130"/>
      <c r="TI6" s="130"/>
      <c r="TJ6" s="130"/>
      <c r="TK6" s="130"/>
      <c r="TL6" s="130"/>
      <c r="TM6" s="130"/>
      <c r="TN6" s="130"/>
      <c r="TO6" s="130"/>
      <c r="TP6" s="130"/>
      <c r="TQ6" s="130"/>
      <c r="TR6" s="130"/>
      <c r="TS6" s="130"/>
      <c r="TT6" s="130"/>
      <c r="TU6" s="130"/>
      <c r="TV6" s="130"/>
      <c r="TW6" s="130"/>
      <c r="TX6" s="130"/>
      <c r="TY6" s="130"/>
      <c r="TZ6" s="130"/>
      <c r="UA6" s="130"/>
      <c r="UB6" s="130"/>
      <c r="UC6" s="130"/>
      <c r="UD6" s="130"/>
      <c r="UE6" s="130"/>
      <c r="UF6" s="130"/>
      <c r="UG6" s="130"/>
      <c r="UH6" s="130"/>
      <c r="UI6" s="130"/>
      <c r="UJ6" s="130"/>
      <c r="UK6" s="130"/>
      <c r="UL6" s="130"/>
      <c r="UM6" s="130"/>
      <c r="UN6" s="130"/>
      <c r="UO6" s="130"/>
      <c r="UP6" s="130"/>
      <c r="UQ6" s="130"/>
      <c r="UR6" s="130"/>
      <c r="US6" s="130"/>
      <c r="UT6" s="130"/>
      <c r="UU6" s="130"/>
      <c r="UV6" s="130"/>
      <c r="UW6" s="130"/>
      <c r="UX6" s="130"/>
      <c r="UY6" s="130"/>
      <c r="UZ6" s="130"/>
      <c r="VA6" s="130"/>
      <c r="VB6" s="130"/>
      <c r="VC6" s="130"/>
      <c r="VD6" s="130"/>
      <c r="VE6" s="130"/>
      <c r="VF6" s="130"/>
      <c r="VG6" s="130"/>
      <c r="VH6" s="130"/>
      <c r="VI6" s="130"/>
      <c r="VJ6" s="130"/>
      <c r="VK6" s="130"/>
      <c r="VL6" s="130"/>
      <c r="VM6" s="130"/>
      <c r="VN6" s="130"/>
      <c r="VO6" s="130"/>
      <c r="VP6" s="130"/>
      <c r="VQ6" s="130"/>
      <c r="VR6" s="130"/>
      <c r="VS6" s="130"/>
      <c r="VT6" s="130"/>
      <c r="VU6" s="130"/>
      <c r="VV6" s="130"/>
      <c r="VW6" s="130"/>
      <c r="VX6" s="130"/>
      <c r="VY6" s="130"/>
      <c r="VZ6" s="130"/>
      <c r="WA6" s="130"/>
      <c r="WB6" s="130"/>
      <c r="WC6" s="130"/>
      <c r="WD6" s="130"/>
      <c r="WE6" s="130"/>
      <c r="WF6" s="130"/>
      <c r="WG6" s="130"/>
      <c r="WH6" s="130"/>
      <c r="WI6" s="130"/>
      <c r="WJ6" s="130"/>
      <c r="WK6" s="130"/>
      <c r="WL6" s="130"/>
      <c r="WM6" s="130"/>
      <c r="WN6" s="130"/>
      <c r="WO6" s="130"/>
      <c r="WP6" s="130"/>
      <c r="WQ6" s="130"/>
      <c r="WR6" s="130"/>
      <c r="WS6" s="130"/>
      <c r="WT6" s="130"/>
      <c r="WU6" s="130"/>
      <c r="WV6" s="130"/>
      <c r="WW6" s="130"/>
      <c r="WX6" s="130"/>
      <c r="WY6" s="130"/>
      <c r="WZ6" s="130"/>
      <c r="XA6" s="130"/>
      <c r="XB6" s="130"/>
      <c r="XC6" s="130"/>
      <c r="XD6" s="130"/>
      <c r="XE6" s="130"/>
      <c r="XF6" s="130"/>
      <c r="XG6" s="130"/>
      <c r="XH6" s="130"/>
      <c r="XI6" s="130"/>
      <c r="XJ6" s="130"/>
      <c r="XK6" s="130"/>
      <c r="XL6" s="130"/>
      <c r="XM6" s="130"/>
      <c r="XN6" s="130"/>
      <c r="XO6" s="130"/>
      <c r="XP6" s="130"/>
      <c r="XQ6" s="130"/>
      <c r="XR6" s="130"/>
      <c r="XS6" s="130"/>
      <c r="XT6" s="130"/>
      <c r="XU6" s="130"/>
      <c r="XV6" s="130"/>
      <c r="XW6" s="130"/>
      <c r="XX6" s="130"/>
      <c r="XY6" s="130"/>
      <c r="XZ6" s="130"/>
      <c r="YA6" s="130"/>
      <c r="YB6" s="130"/>
      <c r="YC6" s="130"/>
      <c r="YD6" s="130"/>
      <c r="YE6" s="130"/>
      <c r="YF6" s="130"/>
      <c r="YG6" s="130"/>
      <c r="YH6" s="130"/>
      <c r="YI6" s="130"/>
      <c r="YJ6" s="130"/>
      <c r="YK6" s="130"/>
      <c r="YL6" s="130"/>
      <c r="YM6" s="130"/>
      <c r="YN6" s="130"/>
      <c r="YO6" s="130"/>
      <c r="YP6" s="130"/>
      <c r="YQ6" s="130"/>
      <c r="YR6" s="130"/>
      <c r="YS6" s="130"/>
      <c r="YT6" s="130"/>
      <c r="YU6" s="130"/>
      <c r="YV6" s="130"/>
      <c r="YW6" s="130"/>
      <c r="YX6" s="130"/>
      <c r="YY6" s="130"/>
      <c r="YZ6" s="130"/>
      <c r="ZA6" s="130"/>
      <c r="ZB6" s="130"/>
      <c r="ZC6" s="130"/>
      <c r="ZD6" s="130"/>
      <c r="ZE6" s="130"/>
      <c r="ZF6" s="130"/>
      <c r="ZG6" s="130"/>
      <c r="ZH6" s="130"/>
      <c r="ZI6" s="130"/>
      <c r="ZJ6" s="130"/>
      <c r="ZK6" s="130"/>
      <c r="ZL6" s="130"/>
      <c r="ZM6" s="130"/>
      <c r="ZN6" s="130"/>
      <c r="ZO6" s="130"/>
      <c r="ZP6" s="130"/>
      <c r="ZQ6" s="130"/>
      <c r="ZR6" s="130"/>
      <c r="ZS6" s="130"/>
      <c r="ZT6" s="130"/>
      <c r="ZU6" s="130"/>
      <c r="ZV6" s="130"/>
      <c r="ZW6" s="130"/>
      <c r="ZX6" s="130"/>
      <c r="ZY6" s="130"/>
      <c r="ZZ6" s="130"/>
      <c r="AAA6" s="130"/>
      <c r="AAB6" s="130"/>
      <c r="AAC6" s="130"/>
      <c r="AAD6" s="130"/>
      <c r="AAE6" s="130"/>
      <c r="AAF6" s="130"/>
      <c r="AAG6" s="130"/>
      <c r="AAH6" s="130"/>
      <c r="AAI6" s="130"/>
      <c r="AAJ6" s="130"/>
      <c r="AAK6" s="130"/>
      <c r="AAL6" s="130"/>
      <c r="AAM6" s="130"/>
      <c r="AAN6" s="130"/>
      <c r="AAO6" s="130"/>
      <c r="AAP6" s="130"/>
      <c r="AAQ6" s="130"/>
      <c r="AAR6" s="130"/>
      <c r="AAS6" s="130"/>
      <c r="AAT6" s="130"/>
      <c r="AAU6" s="130"/>
      <c r="AAV6" s="130"/>
      <c r="AAW6" s="130"/>
      <c r="AAX6" s="130"/>
      <c r="AAY6" s="130"/>
      <c r="AAZ6" s="130"/>
      <c r="ABA6" s="130"/>
      <c r="ABB6" s="130"/>
      <c r="ABC6" s="130"/>
      <c r="ABD6" s="130"/>
      <c r="ABE6" s="130"/>
      <c r="ABF6" s="130"/>
      <c r="ABG6" s="130"/>
      <c r="ABH6" s="130"/>
      <c r="ABI6" s="130"/>
      <c r="ABJ6" s="130"/>
      <c r="ABK6" s="130"/>
      <c r="ABL6" s="130"/>
      <c r="ABM6" s="130"/>
      <c r="ABN6" s="130"/>
      <c r="ABO6" s="130"/>
      <c r="ABP6" s="130"/>
      <c r="ABQ6" s="130"/>
      <c r="ABR6" s="130"/>
      <c r="ABS6" s="130"/>
      <c r="ABT6" s="130"/>
      <c r="ABU6" s="130"/>
      <c r="ABV6" s="130"/>
      <c r="ABW6" s="130"/>
      <c r="ABX6" s="130"/>
      <c r="ABY6" s="130"/>
      <c r="ABZ6" s="130"/>
      <c r="ACA6" s="130"/>
      <c r="ACB6" s="130"/>
      <c r="ACC6" s="130"/>
      <c r="ACD6" s="130"/>
      <c r="ACE6" s="130"/>
      <c r="ACF6" s="130"/>
      <c r="ACG6" s="130"/>
      <c r="ACH6" s="130"/>
      <c r="ACI6" s="130"/>
      <c r="ACJ6" s="130"/>
      <c r="ACK6" s="130"/>
      <c r="ACL6" s="130"/>
      <c r="ACM6" s="130"/>
      <c r="ACN6" s="130"/>
      <c r="ACO6" s="130"/>
      <c r="ACP6" s="130"/>
      <c r="ACQ6" s="130"/>
      <c r="ACR6" s="130"/>
      <c r="ACS6" s="130"/>
      <c r="ACT6" s="130"/>
      <c r="ACU6" s="130"/>
      <c r="ACV6" s="130"/>
      <c r="ACW6" s="130"/>
      <c r="ACX6" s="130"/>
      <c r="ACY6" s="130"/>
      <c r="ACZ6" s="130"/>
      <c r="ADA6" s="130"/>
      <c r="ADB6" s="130"/>
      <c r="ADC6" s="130"/>
      <c r="ADD6" s="130"/>
      <c r="ADE6" s="130"/>
      <c r="ADF6" s="130"/>
      <c r="ADG6" s="130"/>
      <c r="ADH6" s="130"/>
      <c r="ADI6" s="130"/>
      <c r="ADJ6" s="130"/>
      <c r="ADK6" s="130"/>
      <c r="ADL6" s="130"/>
      <c r="ADM6" s="130"/>
      <c r="ADN6" s="130"/>
      <c r="ADO6" s="130"/>
      <c r="ADP6" s="130"/>
      <c r="ADQ6" s="130"/>
      <c r="ADR6" s="130"/>
      <c r="ADS6" s="130"/>
      <c r="ADT6" s="130"/>
      <c r="ADU6" s="130"/>
      <c r="ADV6" s="130"/>
      <c r="ADW6" s="130"/>
      <c r="ADX6" s="130"/>
      <c r="ADY6" s="130"/>
      <c r="ADZ6" s="130"/>
      <c r="AEA6" s="130"/>
      <c r="AEB6" s="130"/>
      <c r="AEC6" s="130"/>
      <c r="AED6" s="130"/>
      <c r="AEE6" s="130"/>
      <c r="AEF6" s="130"/>
      <c r="AEG6" s="130"/>
      <c r="AEH6" s="130"/>
      <c r="AEI6" s="130"/>
      <c r="AEJ6" s="130"/>
      <c r="AEK6" s="130"/>
      <c r="AEL6" s="130"/>
      <c r="AEM6" s="130"/>
      <c r="AEN6" s="130"/>
      <c r="AEO6" s="130"/>
      <c r="AEP6" s="130"/>
      <c r="AEQ6" s="130"/>
      <c r="AER6" s="130"/>
      <c r="AES6" s="130"/>
      <c r="AET6" s="130"/>
      <c r="AEU6" s="130"/>
      <c r="AEV6" s="130"/>
      <c r="AEW6" s="130"/>
      <c r="AEX6" s="130"/>
      <c r="AEY6" s="130"/>
      <c r="AEZ6" s="130"/>
      <c r="AFA6" s="130"/>
      <c r="AFB6" s="130"/>
      <c r="AFC6" s="130"/>
      <c r="AFD6" s="130"/>
      <c r="AFE6" s="130"/>
      <c r="AFF6" s="130"/>
      <c r="AFG6" s="130"/>
      <c r="AFH6" s="130"/>
      <c r="AFI6" s="130"/>
      <c r="AFJ6" s="130"/>
      <c r="AFK6" s="130"/>
      <c r="AFL6" s="130"/>
      <c r="AFM6" s="130"/>
      <c r="AFN6" s="130"/>
      <c r="AFO6" s="130"/>
      <c r="AFP6" s="130"/>
      <c r="AFQ6" s="130"/>
      <c r="AFR6" s="130"/>
      <c r="AFS6" s="130"/>
      <c r="AFT6" s="130"/>
      <c r="AFU6" s="130"/>
      <c r="AFV6" s="130"/>
      <c r="AFW6" s="130"/>
      <c r="AFX6" s="130"/>
      <c r="AFY6" s="130"/>
      <c r="AFZ6" s="130"/>
      <c r="AGA6" s="130"/>
      <c r="AGB6" s="130"/>
      <c r="AGC6" s="130"/>
      <c r="AGD6" s="130"/>
      <c r="AGE6" s="130"/>
      <c r="AGF6" s="130"/>
      <c r="AGG6" s="130"/>
      <c r="AGH6" s="130"/>
      <c r="AGI6" s="130"/>
      <c r="AGJ6" s="130"/>
      <c r="AGK6" s="130"/>
      <c r="AGL6" s="130"/>
      <c r="AGM6" s="130"/>
      <c r="AGN6" s="130"/>
      <c r="AGO6" s="130"/>
      <c r="AGP6" s="130"/>
      <c r="AGQ6" s="130"/>
      <c r="AGR6" s="130"/>
      <c r="AGS6" s="130"/>
      <c r="AGT6" s="130"/>
      <c r="AGU6" s="130"/>
      <c r="AGV6" s="130"/>
      <c r="AGW6" s="130"/>
      <c r="AGX6" s="130"/>
      <c r="AGY6" s="130"/>
      <c r="AGZ6" s="130"/>
      <c r="AHA6" s="130"/>
      <c r="AHB6" s="130"/>
      <c r="AHC6" s="130"/>
      <c r="AHD6" s="130"/>
      <c r="AHE6" s="130"/>
      <c r="AHF6" s="130"/>
      <c r="AHG6" s="130"/>
      <c r="AHH6" s="130"/>
      <c r="AHI6" s="130"/>
      <c r="AHJ6" s="130"/>
      <c r="AHK6" s="130"/>
      <c r="AHL6" s="130"/>
      <c r="AHM6" s="130"/>
      <c r="AHN6" s="130"/>
      <c r="AHO6" s="130"/>
      <c r="AHP6" s="130"/>
      <c r="AHQ6" s="130"/>
      <c r="AHR6" s="130"/>
      <c r="AHS6" s="130"/>
      <c r="AHT6" s="130"/>
      <c r="AHU6" s="130"/>
      <c r="AHV6" s="130"/>
      <c r="AHW6" s="130"/>
      <c r="AHX6" s="130"/>
      <c r="AHY6" s="130"/>
      <c r="AHZ6" s="130"/>
      <c r="AIA6" s="130"/>
      <c r="AIB6" s="130"/>
      <c r="AIC6" s="130"/>
      <c r="AID6" s="130"/>
      <c r="AIE6" s="130"/>
      <c r="AIF6" s="130"/>
      <c r="AIG6" s="130"/>
      <c r="AIH6" s="130"/>
      <c r="AII6" s="130"/>
      <c r="AIJ6" s="130"/>
      <c r="AIK6" s="130"/>
      <c r="AIL6" s="130"/>
      <c r="AIM6" s="130"/>
      <c r="AIN6" s="130"/>
      <c r="AIO6" s="130"/>
      <c r="AIP6" s="130"/>
      <c r="AIQ6" s="130"/>
      <c r="AIR6" s="130"/>
      <c r="AIS6" s="130"/>
      <c r="AIT6" s="130"/>
      <c r="AIU6" s="130"/>
      <c r="AIV6" s="130"/>
      <c r="AIW6" s="130"/>
      <c r="AIX6" s="130"/>
      <c r="AIY6" s="130"/>
      <c r="AIZ6" s="130"/>
      <c r="AJA6" s="130"/>
      <c r="AJB6" s="130"/>
      <c r="AJC6" s="130"/>
      <c r="AJD6" s="130"/>
      <c r="AJE6" s="130"/>
      <c r="AJF6" s="130"/>
      <c r="AJG6" s="130"/>
      <c r="AJH6" s="130"/>
      <c r="AJI6" s="130"/>
      <c r="AJJ6" s="130"/>
      <c r="AJK6" s="130"/>
      <c r="AJL6" s="130"/>
      <c r="AJM6" s="130"/>
      <c r="AJN6" s="130"/>
      <c r="AJO6" s="130"/>
      <c r="AJP6" s="130"/>
      <c r="AJQ6" s="130"/>
      <c r="AJR6" s="130"/>
      <c r="AJS6" s="130"/>
      <c r="AJT6" s="130"/>
      <c r="AJU6" s="130"/>
      <c r="AJV6" s="130"/>
      <c r="AJW6" s="130"/>
      <c r="AJX6" s="130"/>
      <c r="AJY6" s="130"/>
      <c r="AJZ6" s="130"/>
      <c r="AKA6" s="130"/>
      <c r="AKB6" s="130"/>
      <c r="AKC6" s="130"/>
      <c r="AKD6" s="130"/>
      <c r="AKE6" s="130"/>
      <c r="AKF6" s="130"/>
      <c r="AKG6" s="130"/>
      <c r="AKH6" s="130"/>
      <c r="AKI6" s="130"/>
      <c r="AKJ6" s="130"/>
      <c r="AKK6" s="130"/>
      <c r="AKL6" s="130"/>
      <c r="AKM6" s="130"/>
      <c r="AKN6" s="130"/>
      <c r="AKO6" s="130"/>
      <c r="AKP6" s="130"/>
      <c r="AKQ6" s="130"/>
      <c r="AKR6" s="130"/>
      <c r="AKS6" s="130"/>
      <c r="AKT6" s="130"/>
      <c r="AKU6" s="130"/>
      <c r="AKV6" s="130"/>
      <c r="AKW6" s="130"/>
      <c r="AKX6" s="130"/>
      <c r="AKY6" s="130"/>
      <c r="AKZ6" s="130"/>
      <c r="ALA6" s="130"/>
      <c r="ALB6" s="130"/>
      <c r="ALC6" s="130"/>
      <c r="ALD6" s="130"/>
      <c r="ALE6" s="130"/>
      <c r="ALF6" s="130"/>
      <c r="ALG6" s="130"/>
      <c r="ALH6" s="130"/>
      <c r="ALI6" s="130"/>
      <c r="ALJ6" s="130"/>
      <c r="ALK6" s="130"/>
      <c r="ALL6" s="130"/>
      <c r="ALM6" s="130"/>
      <c r="ALN6" s="130"/>
      <c r="ALO6" s="130"/>
      <c r="ALP6" s="130"/>
      <c r="ALQ6" s="130"/>
      <c r="ALR6" s="130"/>
      <c r="ALS6" s="130"/>
      <c r="ALT6" s="130"/>
      <c r="ALU6" s="130"/>
      <c r="ALV6" s="130"/>
      <c r="ALW6" s="130"/>
      <c r="ALX6" s="130"/>
      <c r="ALY6" s="130"/>
      <c r="ALZ6" s="130"/>
      <c r="AMA6" s="130"/>
      <c r="AMB6" s="130"/>
      <c r="AMC6" s="130"/>
      <c r="AMD6" s="130"/>
      <c r="AME6" s="130"/>
      <c r="AMF6" s="130"/>
      <c r="AMG6" s="130"/>
      <c r="AMH6" s="130"/>
      <c r="AMI6" s="130"/>
      <c r="AMJ6" s="130"/>
      <c r="AMK6" s="130"/>
      <c r="AML6" s="130"/>
      <c r="AMM6" s="130"/>
      <c r="AMN6" s="130"/>
      <c r="AMO6" s="130"/>
      <c r="AMP6" s="130"/>
      <c r="AMQ6" s="130"/>
      <c r="AMR6" s="130"/>
      <c r="AMS6" s="130"/>
      <c r="AMT6" s="130"/>
      <c r="AMU6" s="130"/>
      <c r="AMV6" s="130"/>
      <c r="AMW6" s="130"/>
      <c r="AMX6" s="130"/>
      <c r="AMY6" s="130"/>
      <c r="AMZ6" s="130"/>
      <c r="ANA6" s="130"/>
      <c r="ANB6" s="130"/>
      <c r="ANC6" s="130"/>
      <c r="AND6" s="130"/>
      <c r="ANE6" s="130"/>
      <c r="ANF6" s="130"/>
      <c r="ANG6" s="130"/>
      <c r="ANH6" s="130"/>
      <c r="ANI6" s="130"/>
      <c r="ANJ6" s="130"/>
      <c r="ANK6" s="130"/>
      <c r="ANL6" s="130"/>
      <c r="ANM6" s="130"/>
      <c r="ANN6" s="130"/>
      <c r="ANO6" s="130"/>
      <c r="ANP6" s="130"/>
      <c r="ANQ6" s="130"/>
      <c r="ANR6" s="130"/>
      <c r="ANS6" s="130"/>
      <c r="ANT6" s="130"/>
      <c r="ANU6" s="130"/>
      <c r="ANV6" s="130"/>
      <c r="ANW6" s="130"/>
      <c r="ANX6" s="130"/>
      <c r="ANY6" s="130"/>
      <c r="ANZ6" s="130"/>
      <c r="AOA6" s="130"/>
      <c r="AOB6" s="130"/>
      <c r="AOC6" s="130"/>
      <c r="AOD6" s="130"/>
      <c r="AOE6" s="130"/>
      <c r="AOF6" s="130"/>
      <c r="AOG6" s="130"/>
      <c r="AOH6" s="130"/>
      <c r="AOI6" s="130"/>
      <c r="AOJ6" s="130"/>
      <c r="AOK6" s="130"/>
      <c r="AOL6" s="130"/>
      <c r="AOM6" s="130"/>
      <c r="AON6" s="130"/>
      <c r="AOO6" s="130"/>
      <c r="AOP6" s="130"/>
      <c r="AOQ6" s="130"/>
      <c r="AOR6" s="130"/>
      <c r="AOS6" s="130"/>
      <c r="AOT6" s="130"/>
      <c r="AOU6" s="130"/>
      <c r="AOV6" s="130"/>
      <c r="AOW6" s="130"/>
      <c r="AOX6" s="130"/>
      <c r="AOY6" s="130"/>
      <c r="AOZ6" s="130"/>
      <c r="APA6" s="130"/>
      <c r="APB6" s="130"/>
      <c r="APC6" s="130"/>
      <c r="APD6" s="130"/>
      <c r="APE6" s="130"/>
      <c r="APF6" s="130"/>
      <c r="APG6" s="130"/>
      <c r="APH6" s="130"/>
      <c r="API6" s="130"/>
      <c r="APJ6" s="130"/>
      <c r="APK6" s="130"/>
      <c r="APL6" s="130"/>
      <c r="APM6" s="130"/>
      <c r="APN6" s="130"/>
      <c r="APO6" s="130"/>
      <c r="APP6" s="130"/>
      <c r="APQ6" s="130"/>
      <c r="APR6" s="130"/>
      <c r="APS6" s="130"/>
      <c r="APT6" s="130"/>
      <c r="APU6" s="130"/>
      <c r="APV6" s="130"/>
      <c r="APW6" s="130"/>
      <c r="APX6" s="130"/>
      <c r="APY6" s="130"/>
      <c r="APZ6" s="130"/>
      <c r="AQA6" s="130"/>
      <c r="AQB6" s="130"/>
      <c r="AQC6" s="130"/>
      <c r="AQD6" s="130"/>
      <c r="AQE6" s="130"/>
      <c r="AQF6" s="130"/>
      <c r="AQG6" s="130"/>
      <c r="AQH6" s="130"/>
      <c r="AQI6" s="130"/>
      <c r="AQJ6" s="130"/>
      <c r="AQK6" s="130"/>
      <c r="AQL6" s="130"/>
      <c r="AQM6" s="130"/>
      <c r="AQN6" s="130"/>
      <c r="AQO6" s="130"/>
      <c r="AQP6" s="130"/>
      <c r="AQQ6" s="130"/>
      <c r="AQR6" s="130"/>
      <c r="AQS6" s="130"/>
      <c r="AQT6" s="130"/>
      <c r="AQU6" s="130"/>
      <c r="AQV6" s="130"/>
      <c r="AQW6" s="130"/>
      <c r="AQX6" s="130"/>
      <c r="AQY6" s="130"/>
      <c r="AQZ6" s="130"/>
      <c r="ARA6" s="130"/>
      <c r="ARB6" s="130"/>
      <c r="ARC6" s="130"/>
      <c r="ARD6" s="130"/>
      <c r="ARE6" s="130"/>
      <c r="ARF6" s="130"/>
      <c r="ARG6" s="130"/>
      <c r="ARH6" s="130"/>
      <c r="ARI6" s="130"/>
      <c r="ARJ6" s="130"/>
      <c r="ARK6" s="130"/>
      <c r="ARL6" s="130"/>
      <c r="ARM6" s="130"/>
      <c r="ARN6" s="130"/>
      <c r="ARO6" s="130"/>
      <c r="ARP6" s="130"/>
      <c r="ARQ6" s="130"/>
      <c r="ARR6" s="130"/>
      <c r="ARS6" s="130"/>
      <c r="ART6" s="130"/>
      <c r="ARU6" s="130"/>
      <c r="ARV6" s="130"/>
      <c r="ARW6" s="130"/>
      <c r="ARX6" s="130"/>
      <c r="ARY6" s="130"/>
      <c r="ARZ6" s="130"/>
      <c r="ASA6" s="130"/>
      <c r="ASB6" s="130"/>
      <c r="ASC6" s="130"/>
      <c r="ASD6" s="130"/>
      <c r="ASE6" s="130"/>
      <c r="ASF6" s="130"/>
      <c r="ASG6" s="130"/>
      <c r="ASH6" s="130"/>
      <c r="ASI6" s="130"/>
      <c r="ASJ6" s="130"/>
      <c r="ASK6" s="130"/>
      <c r="ASL6" s="130"/>
      <c r="ASM6" s="130"/>
      <c r="ASN6" s="130"/>
      <c r="ASO6" s="130"/>
      <c r="ASP6" s="130"/>
      <c r="ASQ6" s="130"/>
      <c r="ASR6" s="130"/>
      <c r="ASS6" s="130"/>
      <c r="AST6" s="130"/>
      <c r="ASU6" s="130"/>
      <c r="ASV6" s="130"/>
      <c r="ASW6" s="130"/>
      <c r="ASX6" s="130"/>
      <c r="ASY6" s="130"/>
      <c r="ASZ6" s="130"/>
      <c r="ATA6" s="130"/>
      <c r="ATB6" s="130"/>
      <c r="ATC6" s="130"/>
      <c r="ATD6" s="130"/>
      <c r="ATE6" s="130"/>
      <c r="ATF6" s="130"/>
      <c r="ATG6" s="130"/>
      <c r="ATH6" s="130"/>
      <c r="ATI6" s="130"/>
      <c r="ATJ6" s="130"/>
      <c r="ATK6" s="130"/>
      <c r="ATL6" s="130"/>
      <c r="ATM6" s="130"/>
      <c r="ATN6" s="130"/>
      <c r="ATO6" s="130"/>
      <c r="ATP6" s="130"/>
      <c r="ATQ6" s="130"/>
      <c r="ATR6" s="130"/>
      <c r="ATS6" s="130"/>
      <c r="ATT6" s="130"/>
      <c r="ATU6" s="130"/>
      <c r="ATV6" s="130"/>
      <c r="ATW6" s="130"/>
      <c r="ATX6" s="130"/>
      <c r="ATY6" s="130"/>
      <c r="ATZ6" s="130"/>
      <c r="AUA6" s="130"/>
      <c r="AUB6" s="130"/>
      <c r="AUC6" s="130"/>
      <c r="AUD6" s="130"/>
      <c r="AUE6" s="130"/>
      <c r="AUF6" s="130"/>
      <c r="AUG6" s="130"/>
      <c r="AUH6" s="130"/>
      <c r="AUI6" s="130"/>
      <c r="AUJ6" s="130"/>
      <c r="AUK6" s="130"/>
      <c r="AUL6" s="130"/>
      <c r="AUM6" s="130"/>
      <c r="AUN6" s="130"/>
      <c r="AUO6" s="130"/>
      <c r="AUP6" s="130"/>
      <c r="AUQ6" s="130"/>
      <c r="AUR6" s="130"/>
      <c r="AUS6" s="130"/>
      <c r="AUT6" s="130"/>
      <c r="AUU6" s="130"/>
      <c r="AUV6" s="130"/>
      <c r="AUW6" s="130"/>
      <c r="AUX6" s="130"/>
      <c r="AUY6" s="130"/>
      <c r="AUZ6" s="130"/>
      <c r="AVA6" s="130"/>
      <c r="AVB6" s="130"/>
      <c r="AVC6" s="130"/>
      <c r="AVD6" s="130"/>
      <c r="AVE6" s="130"/>
      <c r="AVF6" s="130"/>
      <c r="AVG6" s="130"/>
      <c r="AVH6" s="130"/>
      <c r="AVI6" s="130"/>
      <c r="AVJ6" s="130"/>
      <c r="AVK6" s="130"/>
      <c r="AVL6" s="130"/>
      <c r="AVM6" s="130"/>
      <c r="AVN6" s="130"/>
      <c r="AVO6" s="130"/>
      <c r="AVP6" s="130"/>
      <c r="AVQ6" s="130"/>
      <c r="AVR6" s="130"/>
      <c r="AVS6" s="130"/>
      <c r="AVT6" s="130"/>
      <c r="AVU6" s="130"/>
      <c r="AVV6" s="130"/>
      <c r="AVW6" s="130"/>
      <c r="AVX6" s="130"/>
      <c r="AVY6" s="130"/>
      <c r="AVZ6" s="130"/>
      <c r="AWA6" s="130"/>
      <c r="AWB6" s="130"/>
      <c r="AWC6" s="130"/>
      <c r="AWD6" s="130"/>
      <c r="AWE6" s="130"/>
      <c r="AWF6" s="130"/>
      <c r="AWG6" s="130"/>
      <c r="AWH6" s="130"/>
      <c r="AWI6" s="130"/>
      <c r="AWJ6" s="130"/>
      <c r="AWK6" s="130"/>
      <c r="AWL6" s="130"/>
      <c r="AWM6" s="130"/>
      <c r="AWN6" s="130"/>
      <c r="AWO6" s="130"/>
      <c r="AWP6" s="130"/>
      <c r="AWQ6" s="130"/>
      <c r="AWR6" s="130"/>
      <c r="AWS6" s="130"/>
      <c r="AWT6" s="130"/>
      <c r="AWU6" s="130"/>
      <c r="AWV6" s="130"/>
      <c r="AWW6" s="130"/>
      <c r="AWX6" s="130"/>
      <c r="AWY6" s="130"/>
      <c r="AWZ6" s="130"/>
      <c r="AXA6" s="130"/>
      <c r="AXB6" s="130"/>
      <c r="AXC6" s="130"/>
      <c r="AXD6" s="130"/>
      <c r="AXE6" s="130"/>
      <c r="AXF6" s="130"/>
      <c r="AXG6" s="130"/>
      <c r="AXH6" s="130"/>
      <c r="AXI6" s="130"/>
      <c r="AXJ6" s="130"/>
      <c r="AXK6" s="130"/>
      <c r="AXL6" s="130"/>
      <c r="AXM6" s="130"/>
      <c r="AXN6" s="130"/>
      <c r="AXO6" s="130"/>
      <c r="AXP6" s="130"/>
      <c r="AXQ6" s="130"/>
      <c r="AXR6" s="130"/>
      <c r="AXS6" s="130"/>
      <c r="AXT6" s="130"/>
      <c r="AXU6" s="130"/>
      <c r="AXV6" s="130"/>
      <c r="AXW6" s="130"/>
      <c r="AXX6" s="130"/>
      <c r="AXY6" s="130"/>
      <c r="AXZ6" s="130"/>
      <c r="AYA6" s="130"/>
      <c r="AYB6" s="130"/>
      <c r="AYC6" s="130"/>
      <c r="AYD6" s="130"/>
      <c r="AYE6" s="130"/>
      <c r="AYF6" s="130"/>
      <c r="AYG6" s="130"/>
      <c r="AYH6" s="130"/>
      <c r="AYI6" s="130"/>
      <c r="AYJ6" s="130"/>
      <c r="AYK6" s="130"/>
      <c r="AYL6" s="130"/>
      <c r="AYM6" s="130"/>
      <c r="AYN6" s="130"/>
      <c r="AYO6" s="130"/>
      <c r="AYP6" s="130"/>
      <c r="AYQ6" s="130"/>
      <c r="AYR6" s="130"/>
      <c r="AYS6" s="130"/>
      <c r="AYT6" s="130"/>
      <c r="AYU6" s="130"/>
      <c r="AYV6" s="130"/>
      <c r="AYW6" s="130"/>
      <c r="AYX6" s="130"/>
      <c r="AYY6" s="130"/>
      <c r="AYZ6" s="130"/>
      <c r="AZA6" s="130"/>
      <c r="AZB6" s="130"/>
      <c r="AZC6" s="130"/>
      <c r="AZD6" s="130"/>
      <c r="AZE6" s="130"/>
      <c r="AZF6" s="130"/>
      <c r="AZG6" s="130"/>
      <c r="AZH6" s="130"/>
      <c r="AZI6" s="130"/>
      <c r="AZJ6" s="130"/>
      <c r="AZK6" s="130"/>
      <c r="AZL6" s="130"/>
      <c r="AZM6" s="130"/>
      <c r="AZN6" s="130"/>
      <c r="AZO6" s="130"/>
      <c r="AZP6" s="130"/>
      <c r="AZQ6" s="130"/>
      <c r="AZR6" s="130"/>
      <c r="AZS6" s="130"/>
      <c r="AZT6" s="130"/>
      <c r="AZU6" s="130"/>
      <c r="AZV6" s="130"/>
      <c r="AZW6" s="130"/>
      <c r="AZX6" s="130"/>
      <c r="AZY6" s="130"/>
      <c r="AZZ6" s="130"/>
      <c r="BAA6" s="130"/>
      <c r="BAB6" s="130"/>
      <c r="BAC6" s="130"/>
      <c r="BAD6" s="130"/>
      <c r="BAE6" s="130"/>
      <c r="BAF6" s="130"/>
      <c r="BAG6" s="130"/>
      <c r="BAH6" s="130"/>
      <c r="BAI6" s="130"/>
      <c r="BAJ6" s="130"/>
      <c r="BAK6" s="130"/>
      <c r="BAL6" s="130"/>
      <c r="BAM6" s="130"/>
      <c r="BAN6" s="130"/>
      <c r="BAO6" s="130"/>
      <c r="BAP6" s="130"/>
      <c r="BAQ6" s="130"/>
      <c r="BAR6" s="130"/>
      <c r="BAS6" s="130"/>
      <c r="BAT6" s="130"/>
    </row>
    <row r="7" spans="1:1398" ht="20.149999999999999" customHeight="1" x14ac:dyDescent="0.35">
      <c r="A7" s="134">
        <v>3</v>
      </c>
      <c r="B7" s="27" t="s">
        <v>192</v>
      </c>
      <c r="C7" s="31">
        <v>43502</v>
      </c>
      <c r="D7" s="40" t="s">
        <v>191</v>
      </c>
      <c r="E7" s="40">
        <v>21.35</v>
      </c>
      <c r="F7" s="40">
        <v>122.1</v>
      </c>
      <c r="G7" s="74">
        <f>E7/(F7/100)^2</f>
        <v>14.320775991537667</v>
      </c>
      <c r="H7" s="48" t="s">
        <v>65</v>
      </c>
      <c r="I7" s="133" t="s">
        <v>65</v>
      </c>
      <c r="J7" s="48" t="s">
        <v>17</v>
      </c>
      <c r="K7" s="50" t="s">
        <v>193</v>
      </c>
    </row>
    <row r="8" spans="1:1398" s="41" customFormat="1" ht="20.149999999999999" customHeight="1" thickBot="1" x14ac:dyDescent="0.4">
      <c r="A8" s="51">
        <v>4</v>
      </c>
      <c r="B8" s="144" t="s">
        <v>194</v>
      </c>
      <c r="C8" s="91">
        <v>43424</v>
      </c>
      <c r="D8" s="57" t="s">
        <v>195</v>
      </c>
      <c r="E8" s="57">
        <v>19.45</v>
      </c>
      <c r="F8" s="57">
        <v>110.5</v>
      </c>
      <c r="G8" s="79">
        <f>E8/(F8/100)^2</f>
        <v>15.929239778055322</v>
      </c>
      <c r="H8" s="149" t="s">
        <v>120</v>
      </c>
      <c r="I8" s="150" t="s">
        <v>65</v>
      </c>
      <c r="J8" s="152" t="s">
        <v>20</v>
      </c>
      <c r="K8" s="150" t="s">
        <v>17</v>
      </c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30"/>
      <c r="AI8" s="130"/>
      <c r="AJ8" s="130"/>
      <c r="AK8" s="130"/>
      <c r="AL8" s="130"/>
      <c r="AM8" s="130"/>
      <c r="AN8" s="130"/>
      <c r="AO8" s="130"/>
      <c r="AP8" s="130"/>
      <c r="AQ8" s="130"/>
      <c r="AR8" s="130"/>
      <c r="AS8" s="130"/>
      <c r="AT8" s="130"/>
      <c r="AU8" s="130"/>
      <c r="AV8" s="130"/>
      <c r="AW8" s="130"/>
      <c r="AX8" s="130"/>
      <c r="AY8" s="130"/>
      <c r="AZ8" s="130"/>
      <c r="BA8" s="130"/>
      <c r="BB8" s="130"/>
      <c r="BC8" s="130"/>
      <c r="BD8" s="130"/>
      <c r="BE8" s="130"/>
      <c r="BF8" s="130"/>
      <c r="BG8" s="130"/>
      <c r="BH8" s="130"/>
      <c r="BI8" s="130"/>
      <c r="BJ8" s="130"/>
      <c r="BK8" s="130"/>
      <c r="BL8" s="130"/>
      <c r="BM8" s="130"/>
      <c r="BN8" s="130"/>
      <c r="BO8" s="130"/>
      <c r="BP8" s="130"/>
      <c r="BQ8" s="130"/>
      <c r="BR8" s="130"/>
      <c r="BS8" s="130"/>
      <c r="BT8" s="130"/>
      <c r="BU8" s="130"/>
      <c r="BV8" s="130"/>
      <c r="BW8" s="130"/>
      <c r="BX8" s="130"/>
      <c r="BY8" s="130"/>
      <c r="BZ8" s="130"/>
      <c r="CA8" s="130"/>
      <c r="CB8" s="130"/>
      <c r="CC8" s="130"/>
      <c r="CD8" s="130"/>
      <c r="CE8" s="130"/>
      <c r="CF8" s="130"/>
      <c r="CG8" s="130"/>
      <c r="CH8" s="130"/>
      <c r="CI8" s="130"/>
      <c r="CJ8" s="130"/>
      <c r="CK8" s="130"/>
      <c r="CL8" s="130"/>
      <c r="CM8" s="130"/>
      <c r="CN8" s="130"/>
      <c r="CO8" s="130"/>
      <c r="CP8" s="130"/>
      <c r="CQ8" s="130"/>
      <c r="CR8" s="130"/>
      <c r="CS8" s="130"/>
      <c r="CT8" s="130"/>
      <c r="CU8" s="130"/>
      <c r="CV8" s="130"/>
      <c r="CW8" s="130"/>
      <c r="CX8" s="130"/>
      <c r="CY8" s="130"/>
      <c r="CZ8" s="130"/>
      <c r="DA8" s="130"/>
      <c r="DB8" s="130"/>
      <c r="DC8" s="130"/>
      <c r="DD8" s="130"/>
      <c r="DE8" s="130"/>
      <c r="DF8" s="130"/>
      <c r="DG8" s="130"/>
      <c r="DH8" s="130"/>
      <c r="DI8" s="130"/>
      <c r="DJ8" s="130"/>
      <c r="DK8" s="130"/>
      <c r="DL8" s="130"/>
      <c r="DM8" s="130"/>
      <c r="DN8" s="130"/>
      <c r="DO8" s="130"/>
      <c r="DP8" s="130"/>
      <c r="DQ8" s="130"/>
      <c r="DR8" s="130"/>
      <c r="DS8" s="130"/>
      <c r="DT8" s="130"/>
      <c r="DU8" s="130"/>
      <c r="DV8" s="130"/>
      <c r="DW8" s="130"/>
      <c r="DX8" s="130"/>
      <c r="DY8" s="130"/>
      <c r="DZ8" s="130"/>
      <c r="EA8" s="130"/>
      <c r="EB8" s="130"/>
      <c r="EC8" s="130"/>
      <c r="ED8" s="130"/>
      <c r="EE8" s="130"/>
      <c r="EF8" s="130"/>
      <c r="EG8" s="130"/>
      <c r="EH8" s="130"/>
      <c r="EI8" s="130"/>
      <c r="EJ8" s="130"/>
      <c r="EK8" s="130"/>
      <c r="EL8" s="130"/>
      <c r="EM8" s="130"/>
      <c r="EN8" s="130"/>
      <c r="EO8" s="130"/>
      <c r="EP8" s="130"/>
      <c r="EQ8" s="130"/>
      <c r="ER8" s="130"/>
      <c r="ES8" s="130"/>
      <c r="ET8" s="130"/>
      <c r="EU8" s="130"/>
      <c r="EV8" s="130"/>
      <c r="EW8" s="130"/>
      <c r="EX8" s="130"/>
      <c r="EY8" s="130"/>
      <c r="EZ8" s="130"/>
      <c r="FA8" s="130"/>
      <c r="FB8" s="130"/>
      <c r="FC8" s="130"/>
      <c r="FD8" s="130"/>
      <c r="FE8" s="130"/>
      <c r="FF8" s="130"/>
      <c r="FG8" s="130"/>
      <c r="FH8" s="130"/>
      <c r="FI8" s="130"/>
      <c r="FJ8" s="130"/>
      <c r="FK8" s="130"/>
      <c r="FL8" s="130"/>
      <c r="FM8" s="130"/>
      <c r="FN8" s="130"/>
      <c r="FO8" s="130"/>
      <c r="FP8" s="130"/>
      <c r="FQ8" s="130"/>
      <c r="FR8" s="130"/>
      <c r="FS8" s="130"/>
      <c r="FT8" s="130"/>
      <c r="FU8" s="130"/>
      <c r="FV8" s="130"/>
      <c r="FW8" s="130"/>
      <c r="FX8" s="130"/>
      <c r="FY8" s="130"/>
      <c r="FZ8" s="130"/>
      <c r="GA8" s="130"/>
      <c r="GB8" s="130"/>
      <c r="GC8" s="130"/>
      <c r="GD8" s="130"/>
      <c r="GE8" s="130"/>
      <c r="GF8" s="130"/>
      <c r="GG8" s="130"/>
      <c r="GH8" s="130"/>
      <c r="GI8" s="130"/>
      <c r="GJ8" s="130"/>
      <c r="GK8" s="130"/>
      <c r="GL8" s="130"/>
      <c r="GM8" s="130"/>
      <c r="GN8" s="130"/>
      <c r="GO8" s="130"/>
      <c r="GP8" s="130"/>
      <c r="GQ8" s="130"/>
      <c r="GR8" s="130"/>
      <c r="GS8" s="130"/>
      <c r="GT8" s="130"/>
      <c r="GU8" s="130"/>
      <c r="GV8" s="130"/>
      <c r="GW8" s="130"/>
      <c r="GX8" s="130"/>
      <c r="GY8" s="130"/>
      <c r="GZ8" s="130"/>
      <c r="HA8" s="130"/>
      <c r="HB8" s="130"/>
      <c r="HC8" s="130"/>
      <c r="HD8" s="130"/>
      <c r="HE8" s="130"/>
      <c r="HF8" s="130"/>
      <c r="HG8" s="130"/>
      <c r="HH8" s="130"/>
      <c r="HI8" s="130"/>
      <c r="HJ8" s="130"/>
      <c r="HK8" s="130"/>
      <c r="HL8" s="130"/>
      <c r="HM8" s="130"/>
      <c r="HN8" s="130"/>
      <c r="HO8" s="130"/>
      <c r="HP8" s="130"/>
      <c r="HQ8" s="130"/>
      <c r="HR8" s="130"/>
      <c r="HS8" s="130"/>
      <c r="HT8" s="130"/>
      <c r="HU8" s="130"/>
      <c r="HV8" s="130"/>
      <c r="HW8" s="130"/>
      <c r="HX8" s="130"/>
      <c r="HY8" s="130"/>
      <c r="HZ8" s="130"/>
      <c r="IA8" s="130"/>
      <c r="IB8" s="130"/>
      <c r="IC8" s="130"/>
      <c r="ID8" s="130"/>
      <c r="IE8" s="130"/>
      <c r="IF8" s="130"/>
      <c r="IG8" s="130"/>
      <c r="IH8" s="130"/>
      <c r="II8" s="130"/>
      <c r="IJ8" s="130"/>
      <c r="IK8" s="130"/>
      <c r="IL8" s="130"/>
      <c r="IM8" s="130"/>
      <c r="IN8" s="130"/>
      <c r="IO8" s="130"/>
      <c r="IP8" s="130"/>
      <c r="IQ8" s="130"/>
      <c r="IR8" s="130"/>
      <c r="IS8" s="130"/>
      <c r="IT8" s="130"/>
      <c r="IU8" s="130"/>
      <c r="IV8" s="130"/>
      <c r="IW8" s="130"/>
      <c r="IX8" s="130"/>
      <c r="IY8" s="130"/>
      <c r="IZ8" s="130"/>
      <c r="JA8" s="130"/>
      <c r="JB8" s="130"/>
      <c r="JC8" s="130"/>
      <c r="JD8" s="130"/>
      <c r="JE8" s="130"/>
      <c r="JF8" s="130"/>
      <c r="JG8" s="130"/>
      <c r="JH8" s="130"/>
      <c r="JI8" s="130"/>
      <c r="JJ8" s="130"/>
      <c r="JK8" s="130"/>
      <c r="JL8" s="130"/>
      <c r="JM8" s="130"/>
      <c r="JN8" s="130"/>
      <c r="JO8" s="130"/>
      <c r="JP8" s="130"/>
      <c r="JQ8" s="130"/>
      <c r="JR8" s="130"/>
      <c r="JS8" s="130"/>
      <c r="JT8" s="130"/>
      <c r="JU8" s="130"/>
      <c r="JV8" s="130"/>
      <c r="JW8" s="130"/>
      <c r="JX8" s="130"/>
      <c r="JY8" s="130"/>
      <c r="JZ8" s="130"/>
      <c r="KA8" s="130"/>
      <c r="KB8" s="130"/>
      <c r="KC8" s="130"/>
      <c r="KD8" s="130"/>
      <c r="KE8" s="130"/>
      <c r="KF8" s="130"/>
      <c r="KG8" s="130"/>
      <c r="KH8" s="130"/>
      <c r="KI8" s="130"/>
      <c r="KJ8" s="130"/>
      <c r="KK8" s="130"/>
      <c r="KL8" s="130"/>
      <c r="KM8" s="130"/>
      <c r="KN8" s="130"/>
      <c r="KO8" s="130"/>
      <c r="KP8" s="130"/>
      <c r="KQ8" s="130"/>
      <c r="KR8" s="130"/>
      <c r="KS8" s="130"/>
      <c r="KT8" s="130"/>
      <c r="KU8" s="130"/>
      <c r="KV8" s="130"/>
      <c r="KW8" s="130"/>
      <c r="KX8" s="130"/>
      <c r="KY8" s="130"/>
      <c r="KZ8" s="130"/>
      <c r="LA8" s="130"/>
      <c r="LB8" s="130"/>
      <c r="LC8" s="130"/>
      <c r="LD8" s="130"/>
      <c r="LE8" s="130"/>
      <c r="LF8" s="130"/>
      <c r="LG8" s="130"/>
      <c r="LH8" s="130"/>
      <c r="LI8" s="130"/>
      <c r="LJ8" s="130"/>
      <c r="LK8" s="130"/>
      <c r="LL8" s="130"/>
      <c r="LM8" s="130"/>
      <c r="LN8" s="130"/>
      <c r="LO8" s="130"/>
      <c r="LP8" s="130"/>
      <c r="LQ8" s="130"/>
      <c r="LR8" s="130"/>
      <c r="LS8" s="130"/>
      <c r="LT8" s="130"/>
      <c r="LU8" s="130"/>
      <c r="LV8" s="130"/>
      <c r="LW8" s="130"/>
      <c r="LX8" s="130"/>
      <c r="LY8" s="130"/>
      <c r="LZ8" s="130"/>
      <c r="MA8" s="130"/>
      <c r="MB8" s="130"/>
      <c r="MC8" s="130"/>
      <c r="MD8" s="130"/>
      <c r="ME8" s="130"/>
      <c r="MF8" s="130"/>
      <c r="MG8" s="130"/>
      <c r="MH8" s="130"/>
      <c r="MI8" s="130"/>
      <c r="MJ8" s="130"/>
      <c r="MK8" s="130"/>
      <c r="ML8" s="130"/>
      <c r="MM8" s="130"/>
      <c r="MN8" s="130"/>
      <c r="MO8" s="130"/>
      <c r="MP8" s="130"/>
      <c r="MQ8" s="130"/>
      <c r="MR8" s="130"/>
      <c r="MS8" s="130"/>
      <c r="MT8" s="130"/>
      <c r="MU8" s="130"/>
      <c r="MV8" s="130"/>
      <c r="MW8" s="130"/>
      <c r="MX8" s="130"/>
      <c r="MY8" s="130"/>
      <c r="MZ8" s="130"/>
      <c r="NA8" s="130"/>
      <c r="NB8" s="130"/>
      <c r="NC8" s="130"/>
      <c r="ND8" s="130"/>
      <c r="NE8" s="130"/>
      <c r="NF8" s="130"/>
      <c r="NG8" s="130"/>
      <c r="NH8" s="130"/>
      <c r="NI8" s="130"/>
      <c r="NJ8" s="130"/>
      <c r="NK8" s="130"/>
      <c r="NL8" s="130"/>
      <c r="NM8" s="130"/>
      <c r="NN8" s="130"/>
      <c r="NO8" s="130"/>
      <c r="NP8" s="130"/>
      <c r="NQ8" s="130"/>
      <c r="NR8" s="130"/>
      <c r="NS8" s="130"/>
      <c r="NT8" s="130"/>
      <c r="NU8" s="130"/>
      <c r="NV8" s="130"/>
      <c r="NW8" s="130"/>
      <c r="NX8" s="130"/>
      <c r="NY8" s="130"/>
      <c r="NZ8" s="130"/>
      <c r="OA8" s="130"/>
      <c r="OB8" s="130"/>
      <c r="OC8" s="130"/>
      <c r="OD8" s="130"/>
      <c r="OE8" s="130"/>
      <c r="OF8" s="130"/>
      <c r="OG8" s="130"/>
      <c r="OH8" s="130"/>
      <c r="OI8" s="130"/>
      <c r="OJ8" s="130"/>
      <c r="OK8" s="130"/>
      <c r="OL8" s="130"/>
      <c r="OM8" s="130"/>
      <c r="ON8" s="130"/>
      <c r="OO8" s="130"/>
      <c r="OP8" s="130"/>
      <c r="OQ8" s="130"/>
      <c r="OR8" s="130"/>
      <c r="OS8" s="130"/>
      <c r="OT8" s="130"/>
      <c r="OU8" s="130"/>
      <c r="OV8" s="130"/>
      <c r="OW8" s="130"/>
      <c r="OX8" s="130"/>
      <c r="OY8" s="130"/>
      <c r="OZ8" s="130"/>
      <c r="PA8" s="130"/>
      <c r="PB8" s="130"/>
      <c r="PC8" s="130"/>
      <c r="PD8" s="130"/>
      <c r="PE8" s="130"/>
      <c r="PF8" s="130"/>
      <c r="PG8" s="130"/>
      <c r="PH8" s="130"/>
      <c r="PI8" s="130"/>
      <c r="PJ8" s="130"/>
      <c r="PK8" s="130"/>
      <c r="PL8" s="130"/>
      <c r="PM8" s="130"/>
      <c r="PN8" s="130"/>
      <c r="PO8" s="130"/>
      <c r="PP8" s="130"/>
      <c r="PQ8" s="130"/>
      <c r="PR8" s="130"/>
      <c r="PS8" s="130"/>
      <c r="PT8" s="130"/>
      <c r="PU8" s="130"/>
      <c r="PV8" s="130"/>
      <c r="PW8" s="130"/>
      <c r="PX8" s="130"/>
      <c r="PY8" s="130"/>
      <c r="PZ8" s="130"/>
      <c r="QA8" s="130"/>
      <c r="QB8" s="130"/>
      <c r="QC8" s="130"/>
      <c r="QD8" s="130"/>
      <c r="QE8" s="130"/>
      <c r="QF8" s="130"/>
      <c r="QG8" s="130"/>
      <c r="QH8" s="130"/>
      <c r="QI8" s="130"/>
      <c r="QJ8" s="130"/>
      <c r="QK8" s="130"/>
      <c r="QL8" s="130"/>
      <c r="QM8" s="130"/>
      <c r="QN8" s="130"/>
      <c r="QO8" s="130"/>
      <c r="QP8" s="130"/>
      <c r="QQ8" s="130"/>
      <c r="QR8" s="130"/>
      <c r="QS8" s="130"/>
      <c r="QT8" s="130"/>
      <c r="QU8" s="130"/>
      <c r="QV8" s="130"/>
      <c r="QW8" s="130"/>
      <c r="QX8" s="130"/>
      <c r="QY8" s="130"/>
      <c r="QZ8" s="130"/>
      <c r="RA8" s="130"/>
      <c r="RB8" s="130"/>
      <c r="RC8" s="130"/>
      <c r="RD8" s="130"/>
      <c r="RE8" s="130"/>
      <c r="RF8" s="130"/>
      <c r="RG8" s="130"/>
      <c r="RH8" s="130"/>
      <c r="RI8" s="130"/>
      <c r="RJ8" s="130"/>
      <c r="RK8" s="130"/>
      <c r="RL8" s="130"/>
      <c r="RM8" s="130"/>
      <c r="RN8" s="130"/>
      <c r="RO8" s="130"/>
      <c r="RP8" s="130"/>
      <c r="RQ8" s="130"/>
      <c r="RR8" s="130"/>
      <c r="RS8" s="130"/>
      <c r="RT8" s="130"/>
      <c r="RU8" s="130"/>
      <c r="RV8" s="130"/>
      <c r="RW8" s="130"/>
      <c r="RX8" s="130"/>
      <c r="RY8" s="130"/>
      <c r="RZ8" s="130"/>
      <c r="SA8" s="130"/>
      <c r="SB8" s="130"/>
      <c r="SC8" s="130"/>
      <c r="SD8" s="130"/>
      <c r="SE8" s="130"/>
      <c r="SF8" s="130"/>
      <c r="SG8" s="130"/>
      <c r="SH8" s="130"/>
      <c r="SI8" s="130"/>
      <c r="SJ8" s="130"/>
      <c r="SK8" s="130"/>
      <c r="SL8" s="130"/>
      <c r="SM8" s="130"/>
      <c r="SN8" s="130"/>
      <c r="SO8" s="130"/>
      <c r="SP8" s="130"/>
      <c r="SQ8" s="130"/>
      <c r="SR8" s="130"/>
      <c r="SS8" s="130"/>
      <c r="ST8" s="130"/>
      <c r="SU8" s="130"/>
      <c r="SV8" s="130"/>
      <c r="SW8" s="130"/>
      <c r="SX8" s="130"/>
      <c r="SY8" s="130"/>
      <c r="SZ8" s="130"/>
      <c r="TA8" s="130"/>
      <c r="TB8" s="130"/>
      <c r="TC8" s="130"/>
      <c r="TD8" s="130"/>
      <c r="TE8" s="130"/>
      <c r="TF8" s="130"/>
      <c r="TG8" s="130"/>
      <c r="TH8" s="130"/>
      <c r="TI8" s="130"/>
      <c r="TJ8" s="130"/>
      <c r="TK8" s="130"/>
      <c r="TL8" s="130"/>
      <c r="TM8" s="130"/>
      <c r="TN8" s="130"/>
      <c r="TO8" s="130"/>
      <c r="TP8" s="130"/>
      <c r="TQ8" s="130"/>
      <c r="TR8" s="130"/>
      <c r="TS8" s="130"/>
      <c r="TT8" s="130"/>
      <c r="TU8" s="130"/>
      <c r="TV8" s="130"/>
      <c r="TW8" s="130"/>
      <c r="TX8" s="130"/>
      <c r="TY8" s="130"/>
      <c r="TZ8" s="130"/>
      <c r="UA8" s="130"/>
      <c r="UB8" s="130"/>
      <c r="UC8" s="130"/>
      <c r="UD8" s="130"/>
      <c r="UE8" s="130"/>
      <c r="UF8" s="130"/>
      <c r="UG8" s="130"/>
      <c r="UH8" s="130"/>
      <c r="UI8" s="130"/>
      <c r="UJ8" s="130"/>
      <c r="UK8" s="130"/>
      <c r="UL8" s="130"/>
      <c r="UM8" s="130"/>
      <c r="UN8" s="130"/>
      <c r="UO8" s="130"/>
      <c r="UP8" s="130"/>
      <c r="UQ8" s="130"/>
      <c r="UR8" s="130"/>
      <c r="US8" s="130"/>
      <c r="UT8" s="130"/>
      <c r="UU8" s="130"/>
      <c r="UV8" s="130"/>
      <c r="UW8" s="130"/>
      <c r="UX8" s="130"/>
      <c r="UY8" s="130"/>
      <c r="UZ8" s="130"/>
      <c r="VA8" s="130"/>
      <c r="VB8" s="130"/>
      <c r="VC8" s="130"/>
      <c r="VD8" s="130"/>
      <c r="VE8" s="130"/>
      <c r="VF8" s="130"/>
      <c r="VG8" s="130"/>
      <c r="VH8" s="130"/>
      <c r="VI8" s="130"/>
      <c r="VJ8" s="130"/>
      <c r="VK8" s="130"/>
      <c r="VL8" s="130"/>
      <c r="VM8" s="130"/>
      <c r="VN8" s="130"/>
      <c r="VO8" s="130"/>
      <c r="VP8" s="130"/>
      <c r="VQ8" s="130"/>
      <c r="VR8" s="130"/>
      <c r="VS8" s="130"/>
      <c r="VT8" s="130"/>
      <c r="VU8" s="130"/>
      <c r="VV8" s="130"/>
      <c r="VW8" s="130"/>
      <c r="VX8" s="130"/>
      <c r="VY8" s="130"/>
      <c r="VZ8" s="130"/>
      <c r="WA8" s="130"/>
      <c r="WB8" s="130"/>
      <c r="WC8" s="130"/>
      <c r="WD8" s="130"/>
      <c r="WE8" s="130"/>
      <c r="WF8" s="130"/>
      <c r="WG8" s="130"/>
      <c r="WH8" s="130"/>
      <c r="WI8" s="130"/>
      <c r="WJ8" s="130"/>
      <c r="WK8" s="130"/>
      <c r="WL8" s="130"/>
      <c r="WM8" s="130"/>
      <c r="WN8" s="130"/>
      <c r="WO8" s="130"/>
      <c r="WP8" s="130"/>
      <c r="WQ8" s="130"/>
      <c r="WR8" s="130"/>
      <c r="WS8" s="130"/>
      <c r="WT8" s="130"/>
      <c r="WU8" s="130"/>
      <c r="WV8" s="130"/>
      <c r="WW8" s="130"/>
      <c r="WX8" s="130"/>
      <c r="WY8" s="130"/>
      <c r="WZ8" s="130"/>
      <c r="XA8" s="130"/>
      <c r="XB8" s="130"/>
      <c r="XC8" s="130"/>
      <c r="XD8" s="130"/>
      <c r="XE8" s="130"/>
      <c r="XF8" s="130"/>
      <c r="XG8" s="130"/>
      <c r="XH8" s="130"/>
      <c r="XI8" s="130"/>
      <c r="XJ8" s="130"/>
      <c r="XK8" s="130"/>
      <c r="XL8" s="130"/>
      <c r="XM8" s="130"/>
      <c r="XN8" s="130"/>
      <c r="XO8" s="130"/>
      <c r="XP8" s="130"/>
      <c r="XQ8" s="130"/>
      <c r="XR8" s="130"/>
      <c r="XS8" s="130"/>
      <c r="XT8" s="130"/>
      <c r="XU8" s="130"/>
      <c r="XV8" s="130"/>
      <c r="XW8" s="130"/>
      <c r="XX8" s="130"/>
      <c r="XY8" s="130"/>
      <c r="XZ8" s="130"/>
      <c r="YA8" s="130"/>
      <c r="YB8" s="130"/>
      <c r="YC8" s="130"/>
      <c r="YD8" s="130"/>
      <c r="YE8" s="130"/>
      <c r="YF8" s="130"/>
      <c r="YG8" s="130"/>
      <c r="YH8" s="130"/>
      <c r="YI8" s="130"/>
      <c r="YJ8" s="130"/>
      <c r="YK8" s="130"/>
      <c r="YL8" s="130"/>
      <c r="YM8" s="130"/>
      <c r="YN8" s="130"/>
      <c r="YO8" s="130"/>
      <c r="YP8" s="130"/>
      <c r="YQ8" s="130"/>
      <c r="YR8" s="130"/>
      <c r="YS8" s="130"/>
      <c r="YT8" s="130"/>
      <c r="YU8" s="130"/>
      <c r="YV8" s="130"/>
      <c r="YW8" s="130"/>
      <c r="YX8" s="130"/>
      <c r="YY8" s="130"/>
      <c r="YZ8" s="130"/>
      <c r="ZA8" s="130"/>
      <c r="ZB8" s="130"/>
      <c r="ZC8" s="130"/>
      <c r="ZD8" s="130"/>
      <c r="ZE8" s="130"/>
      <c r="ZF8" s="130"/>
      <c r="ZG8" s="130"/>
      <c r="ZH8" s="130"/>
      <c r="ZI8" s="130"/>
      <c r="ZJ8" s="130"/>
      <c r="ZK8" s="130"/>
      <c r="ZL8" s="130"/>
      <c r="ZM8" s="130"/>
      <c r="ZN8" s="130"/>
      <c r="ZO8" s="130"/>
      <c r="ZP8" s="130"/>
      <c r="ZQ8" s="130"/>
      <c r="ZR8" s="130"/>
      <c r="ZS8" s="130"/>
      <c r="ZT8" s="130"/>
      <c r="ZU8" s="130"/>
      <c r="ZV8" s="130"/>
      <c r="ZW8" s="130"/>
      <c r="ZX8" s="130"/>
      <c r="ZY8" s="130"/>
      <c r="ZZ8" s="130"/>
      <c r="AAA8" s="130"/>
      <c r="AAB8" s="130"/>
      <c r="AAC8" s="130"/>
      <c r="AAD8" s="130"/>
      <c r="AAE8" s="130"/>
      <c r="AAF8" s="130"/>
      <c r="AAG8" s="130"/>
      <c r="AAH8" s="130"/>
      <c r="AAI8" s="130"/>
      <c r="AAJ8" s="130"/>
      <c r="AAK8" s="130"/>
      <c r="AAL8" s="130"/>
      <c r="AAM8" s="130"/>
      <c r="AAN8" s="130"/>
      <c r="AAO8" s="130"/>
      <c r="AAP8" s="130"/>
      <c r="AAQ8" s="130"/>
      <c r="AAR8" s="130"/>
      <c r="AAS8" s="130"/>
      <c r="AAT8" s="130"/>
      <c r="AAU8" s="130"/>
      <c r="AAV8" s="130"/>
      <c r="AAW8" s="130"/>
      <c r="AAX8" s="130"/>
      <c r="AAY8" s="130"/>
      <c r="AAZ8" s="130"/>
      <c r="ABA8" s="130"/>
      <c r="ABB8" s="130"/>
      <c r="ABC8" s="130"/>
      <c r="ABD8" s="130"/>
      <c r="ABE8" s="130"/>
      <c r="ABF8" s="130"/>
      <c r="ABG8" s="130"/>
      <c r="ABH8" s="130"/>
      <c r="ABI8" s="130"/>
      <c r="ABJ8" s="130"/>
      <c r="ABK8" s="130"/>
      <c r="ABL8" s="130"/>
      <c r="ABM8" s="130"/>
      <c r="ABN8" s="130"/>
      <c r="ABO8" s="130"/>
      <c r="ABP8" s="130"/>
      <c r="ABQ8" s="130"/>
      <c r="ABR8" s="130"/>
      <c r="ABS8" s="130"/>
      <c r="ABT8" s="130"/>
      <c r="ABU8" s="130"/>
      <c r="ABV8" s="130"/>
      <c r="ABW8" s="130"/>
      <c r="ABX8" s="130"/>
      <c r="ABY8" s="130"/>
      <c r="ABZ8" s="130"/>
      <c r="ACA8" s="130"/>
      <c r="ACB8" s="130"/>
      <c r="ACC8" s="130"/>
      <c r="ACD8" s="130"/>
      <c r="ACE8" s="130"/>
      <c r="ACF8" s="130"/>
      <c r="ACG8" s="130"/>
      <c r="ACH8" s="130"/>
      <c r="ACI8" s="130"/>
      <c r="ACJ8" s="130"/>
      <c r="ACK8" s="130"/>
      <c r="ACL8" s="130"/>
      <c r="ACM8" s="130"/>
      <c r="ACN8" s="130"/>
      <c r="ACO8" s="130"/>
      <c r="ACP8" s="130"/>
      <c r="ACQ8" s="130"/>
      <c r="ACR8" s="130"/>
      <c r="ACS8" s="130"/>
      <c r="ACT8" s="130"/>
      <c r="ACU8" s="130"/>
      <c r="ACV8" s="130"/>
      <c r="ACW8" s="130"/>
      <c r="ACX8" s="130"/>
      <c r="ACY8" s="130"/>
      <c r="ACZ8" s="130"/>
      <c r="ADA8" s="130"/>
      <c r="ADB8" s="130"/>
      <c r="ADC8" s="130"/>
      <c r="ADD8" s="130"/>
      <c r="ADE8" s="130"/>
      <c r="ADF8" s="130"/>
      <c r="ADG8" s="130"/>
      <c r="ADH8" s="130"/>
      <c r="ADI8" s="130"/>
      <c r="ADJ8" s="130"/>
      <c r="ADK8" s="130"/>
      <c r="ADL8" s="130"/>
      <c r="ADM8" s="130"/>
      <c r="ADN8" s="130"/>
      <c r="ADO8" s="130"/>
      <c r="ADP8" s="130"/>
      <c r="ADQ8" s="130"/>
      <c r="ADR8" s="130"/>
      <c r="ADS8" s="130"/>
      <c r="ADT8" s="130"/>
      <c r="ADU8" s="130"/>
      <c r="ADV8" s="130"/>
      <c r="ADW8" s="130"/>
      <c r="ADX8" s="130"/>
      <c r="ADY8" s="130"/>
      <c r="ADZ8" s="130"/>
      <c r="AEA8" s="130"/>
      <c r="AEB8" s="130"/>
      <c r="AEC8" s="130"/>
      <c r="AED8" s="130"/>
      <c r="AEE8" s="130"/>
      <c r="AEF8" s="130"/>
      <c r="AEG8" s="130"/>
      <c r="AEH8" s="130"/>
      <c r="AEI8" s="130"/>
      <c r="AEJ8" s="130"/>
      <c r="AEK8" s="130"/>
      <c r="AEL8" s="130"/>
      <c r="AEM8" s="130"/>
      <c r="AEN8" s="130"/>
      <c r="AEO8" s="130"/>
      <c r="AEP8" s="130"/>
      <c r="AEQ8" s="130"/>
      <c r="AER8" s="130"/>
      <c r="AES8" s="130"/>
      <c r="AET8" s="130"/>
      <c r="AEU8" s="130"/>
      <c r="AEV8" s="130"/>
      <c r="AEW8" s="130"/>
      <c r="AEX8" s="130"/>
      <c r="AEY8" s="130"/>
      <c r="AEZ8" s="130"/>
      <c r="AFA8" s="130"/>
      <c r="AFB8" s="130"/>
      <c r="AFC8" s="130"/>
      <c r="AFD8" s="130"/>
      <c r="AFE8" s="130"/>
      <c r="AFF8" s="130"/>
      <c r="AFG8" s="130"/>
      <c r="AFH8" s="130"/>
      <c r="AFI8" s="130"/>
      <c r="AFJ8" s="130"/>
      <c r="AFK8" s="130"/>
      <c r="AFL8" s="130"/>
      <c r="AFM8" s="130"/>
      <c r="AFN8" s="130"/>
      <c r="AFO8" s="130"/>
      <c r="AFP8" s="130"/>
      <c r="AFQ8" s="130"/>
      <c r="AFR8" s="130"/>
      <c r="AFS8" s="130"/>
      <c r="AFT8" s="130"/>
      <c r="AFU8" s="130"/>
      <c r="AFV8" s="130"/>
      <c r="AFW8" s="130"/>
      <c r="AFX8" s="130"/>
      <c r="AFY8" s="130"/>
      <c r="AFZ8" s="130"/>
      <c r="AGA8" s="130"/>
      <c r="AGB8" s="130"/>
      <c r="AGC8" s="130"/>
      <c r="AGD8" s="130"/>
      <c r="AGE8" s="130"/>
      <c r="AGF8" s="130"/>
      <c r="AGG8" s="130"/>
      <c r="AGH8" s="130"/>
      <c r="AGI8" s="130"/>
      <c r="AGJ8" s="130"/>
      <c r="AGK8" s="130"/>
      <c r="AGL8" s="130"/>
      <c r="AGM8" s="130"/>
      <c r="AGN8" s="130"/>
      <c r="AGO8" s="130"/>
      <c r="AGP8" s="130"/>
      <c r="AGQ8" s="130"/>
      <c r="AGR8" s="130"/>
      <c r="AGS8" s="130"/>
      <c r="AGT8" s="130"/>
      <c r="AGU8" s="130"/>
      <c r="AGV8" s="130"/>
      <c r="AGW8" s="130"/>
      <c r="AGX8" s="130"/>
      <c r="AGY8" s="130"/>
      <c r="AGZ8" s="130"/>
      <c r="AHA8" s="130"/>
      <c r="AHB8" s="130"/>
      <c r="AHC8" s="130"/>
      <c r="AHD8" s="130"/>
      <c r="AHE8" s="130"/>
      <c r="AHF8" s="130"/>
      <c r="AHG8" s="130"/>
      <c r="AHH8" s="130"/>
      <c r="AHI8" s="130"/>
      <c r="AHJ8" s="130"/>
      <c r="AHK8" s="130"/>
      <c r="AHL8" s="130"/>
      <c r="AHM8" s="130"/>
      <c r="AHN8" s="130"/>
      <c r="AHO8" s="130"/>
      <c r="AHP8" s="130"/>
      <c r="AHQ8" s="130"/>
      <c r="AHR8" s="130"/>
      <c r="AHS8" s="130"/>
      <c r="AHT8" s="130"/>
      <c r="AHU8" s="130"/>
      <c r="AHV8" s="130"/>
      <c r="AHW8" s="130"/>
      <c r="AHX8" s="130"/>
      <c r="AHY8" s="130"/>
      <c r="AHZ8" s="130"/>
      <c r="AIA8" s="130"/>
      <c r="AIB8" s="130"/>
      <c r="AIC8" s="130"/>
      <c r="AID8" s="130"/>
      <c r="AIE8" s="130"/>
      <c r="AIF8" s="130"/>
      <c r="AIG8" s="130"/>
      <c r="AIH8" s="130"/>
      <c r="AII8" s="130"/>
      <c r="AIJ8" s="130"/>
      <c r="AIK8" s="130"/>
      <c r="AIL8" s="130"/>
      <c r="AIM8" s="130"/>
      <c r="AIN8" s="130"/>
      <c r="AIO8" s="130"/>
      <c r="AIP8" s="130"/>
      <c r="AIQ8" s="130"/>
      <c r="AIR8" s="130"/>
      <c r="AIS8" s="130"/>
      <c r="AIT8" s="130"/>
      <c r="AIU8" s="130"/>
      <c r="AIV8" s="130"/>
      <c r="AIW8" s="130"/>
      <c r="AIX8" s="130"/>
      <c r="AIY8" s="130"/>
      <c r="AIZ8" s="130"/>
      <c r="AJA8" s="130"/>
      <c r="AJB8" s="130"/>
      <c r="AJC8" s="130"/>
      <c r="AJD8" s="130"/>
      <c r="AJE8" s="130"/>
      <c r="AJF8" s="130"/>
      <c r="AJG8" s="130"/>
      <c r="AJH8" s="130"/>
      <c r="AJI8" s="130"/>
      <c r="AJJ8" s="130"/>
      <c r="AJK8" s="130"/>
      <c r="AJL8" s="130"/>
      <c r="AJM8" s="130"/>
      <c r="AJN8" s="130"/>
      <c r="AJO8" s="130"/>
      <c r="AJP8" s="130"/>
      <c r="AJQ8" s="130"/>
      <c r="AJR8" s="130"/>
      <c r="AJS8" s="130"/>
      <c r="AJT8" s="130"/>
      <c r="AJU8" s="130"/>
      <c r="AJV8" s="130"/>
      <c r="AJW8" s="130"/>
      <c r="AJX8" s="130"/>
      <c r="AJY8" s="130"/>
      <c r="AJZ8" s="130"/>
      <c r="AKA8" s="130"/>
      <c r="AKB8" s="130"/>
      <c r="AKC8" s="130"/>
      <c r="AKD8" s="130"/>
      <c r="AKE8" s="130"/>
      <c r="AKF8" s="130"/>
      <c r="AKG8" s="130"/>
      <c r="AKH8" s="130"/>
      <c r="AKI8" s="130"/>
      <c r="AKJ8" s="130"/>
      <c r="AKK8" s="130"/>
      <c r="AKL8" s="130"/>
      <c r="AKM8" s="130"/>
      <c r="AKN8" s="130"/>
      <c r="AKO8" s="130"/>
      <c r="AKP8" s="130"/>
      <c r="AKQ8" s="130"/>
      <c r="AKR8" s="130"/>
      <c r="AKS8" s="130"/>
      <c r="AKT8" s="130"/>
      <c r="AKU8" s="130"/>
      <c r="AKV8" s="130"/>
      <c r="AKW8" s="130"/>
      <c r="AKX8" s="130"/>
      <c r="AKY8" s="130"/>
      <c r="AKZ8" s="130"/>
      <c r="ALA8" s="130"/>
      <c r="ALB8" s="130"/>
      <c r="ALC8" s="130"/>
      <c r="ALD8" s="130"/>
      <c r="ALE8" s="130"/>
      <c r="ALF8" s="130"/>
      <c r="ALG8" s="130"/>
      <c r="ALH8" s="130"/>
      <c r="ALI8" s="130"/>
      <c r="ALJ8" s="130"/>
      <c r="ALK8" s="130"/>
      <c r="ALL8" s="130"/>
      <c r="ALM8" s="130"/>
      <c r="ALN8" s="130"/>
      <c r="ALO8" s="130"/>
      <c r="ALP8" s="130"/>
      <c r="ALQ8" s="130"/>
      <c r="ALR8" s="130"/>
      <c r="ALS8" s="130"/>
      <c r="ALT8" s="130"/>
      <c r="ALU8" s="130"/>
      <c r="ALV8" s="130"/>
      <c r="ALW8" s="130"/>
      <c r="ALX8" s="130"/>
      <c r="ALY8" s="130"/>
      <c r="ALZ8" s="130"/>
      <c r="AMA8" s="130"/>
      <c r="AMB8" s="130"/>
      <c r="AMC8" s="130"/>
      <c r="AMD8" s="130"/>
      <c r="AME8" s="130"/>
      <c r="AMF8" s="130"/>
      <c r="AMG8" s="130"/>
      <c r="AMH8" s="130"/>
      <c r="AMI8" s="130"/>
      <c r="AMJ8" s="130"/>
      <c r="AMK8" s="130"/>
      <c r="AML8" s="130"/>
      <c r="AMM8" s="130"/>
      <c r="AMN8" s="130"/>
      <c r="AMO8" s="130"/>
      <c r="AMP8" s="130"/>
      <c r="AMQ8" s="130"/>
      <c r="AMR8" s="130"/>
      <c r="AMS8" s="130"/>
      <c r="AMT8" s="130"/>
      <c r="AMU8" s="130"/>
      <c r="AMV8" s="130"/>
      <c r="AMW8" s="130"/>
      <c r="AMX8" s="130"/>
      <c r="AMY8" s="130"/>
      <c r="AMZ8" s="130"/>
      <c r="ANA8" s="130"/>
      <c r="ANB8" s="130"/>
      <c r="ANC8" s="130"/>
      <c r="AND8" s="130"/>
      <c r="ANE8" s="130"/>
      <c r="ANF8" s="130"/>
      <c r="ANG8" s="130"/>
      <c r="ANH8" s="130"/>
      <c r="ANI8" s="130"/>
      <c r="ANJ8" s="130"/>
      <c r="ANK8" s="130"/>
      <c r="ANL8" s="130"/>
      <c r="ANM8" s="130"/>
      <c r="ANN8" s="130"/>
      <c r="ANO8" s="130"/>
      <c r="ANP8" s="130"/>
      <c r="ANQ8" s="130"/>
      <c r="ANR8" s="130"/>
      <c r="ANS8" s="130"/>
      <c r="ANT8" s="130"/>
      <c r="ANU8" s="130"/>
      <c r="ANV8" s="130"/>
      <c r="ANW8" s="130"/>
      <c r="ANX8" s="130"/>
      <c r="ANY8" s="130"/>
      <c r="ANZ8" s="130"/>
      <c r="AOA8" s="130"/>
      <c r="AOB8" s="130"/>
      <c r="AOC8" s="130"/>
      <c r="AOD8" s="130"/>
      <c r="AOE8" s="130"/>
      <c r="AOF8" s="130"/>
      <c r="AOG8" s="130"/>
      <c r="AOH8" s="130"/>
      <c r="AOI8" s="130"/>
      <c r="AOJ8" s="130"/>
      <c r="AOK8" s="130"/>
      <c r="AOL8" s="130"/>
      <c r="AOM8" s="130"/>
      <c r="AON8" s="130"/>
      <c r="AOO8" s="130"/>
      <c r="AOP8" s="130"/>
      <c r="AOQ8" s="130"/>
      <c r="AOR8" s="130"/>
      <c r="AOS8" s="130"/>
      <c r="AOT8" s="130"/>
      <c r="AOU8" s="130"/>
      <c r="AOV8" s="130"/>
      <c r="AOW8" s="130"/>
      <c r="AOX8" s="130"/>
      <c r="AOY8" s="130"/>
      <c r="AOZ8" s="130"/>
      <c r="APA8" s="130"/>
      <c r="APB8" s="130"/>
      <c r="APC8" s="130"/>
      <c r="APD8" s="130"/>
      <c r="APE8" s="130"/>
      <c r="APF8" s="130"/>
      <c r="APG8" s="130"/>
      <c r="APH8" s="130"/>
      <c r="API8" s="130"/>
      <c r="APJ8" s="130"/>
      <c r="APK8" s="130"/>
      <c r="APL8" s="130"/>
      <c r="APM8" s="130"/>
      <c r="APN8" s="130"/>
      <c r="APO8" s="130"/>
      <c r="APP8" s="130"/>
      <c r="APQ8" s="130"/>
      <c r="APR8" s="130"/>
      <c r="APS8" s="130"/>
      <c r="APT8" s="130"/>
      <c r="APU8" s="130"/>
      <c r="APV8" s="130"/>
      <c r="APW8" s="130"/>
      <c r="APX8" s="130"/>
      <c r="APY8" s="130"/>
      <c r="APZ8" s="130"/>
      <c r="AQA8" s="130"/>
      <c r="AQB8" s="130"/>
      <c r="AQC8" s="130"/>
      <c r="AQD8" s="130"/>
      <c r="AQE8" s="130"/>
      <c r="AQF8" s="130"/>
      <c r="AQG8" s="130"/>
      <c r="AQH8" s="130"/>
      <c r="AQI8" s="130"/>
      <c r="AQJ8" s="130"/>
      <c r="AQK8" s="130"/>
      <c r="AQL8" s="130"/>
      <c r="AQM8" s="130"/>
      <c r="AQN8" s="130"/>
      <c r="AQO8" s="130"/>
      <c r="AQP8" s="130"/>
      <c r="AQQ8" s="130"/>
      <c r="AQR8" s="130"/>
      <c r="AQS8" s="130"/>
      <c r="AQT8" s="130"/>
      <c r="AQU8" s="130"/>
      <c r="AQV8" s="130"/>
      <c r="AQW8" s="130"/>
      <c r="AQX8" s="130"/>
      <c r="AQY8" s="130"/>
      <c r="AQZ8" s="130"/>
      <c r="ARA8" s="130"/>
      <c r="ARB8" s="130"/>
      <c r="ARC8" s="130"/>
      <c r="ARD8" s="130"/>
      <c r="ARE8" s="130"/>
      <c r="ARF8" s="130"/>
      <c r="ARG8" s="130"/>
      <c r="ARH8" s="130"/>
      <c r="ARI8" s="130"/>
      <c r="ARJ8" s="130"/>
      <c r="ARK8" s="130"/>
      <c r="ARL8" s="130"/>
      <c r="ARM8" s="130"/>
      <c r="ARN8" s="130"/>
      <c r="ARO8" s="130"/>
      <c r="ARP8" s="130"/>
      <c r="ARQ8" s="130"/>
      <c r="ARR8" s="130"/>
      <c r="ARS8" s="130"/>
      <c r="ART8" s="130"/>
      <c r="ARU8" s="130"/>
      <c r="ARV8" s="130"/>
      <c r="ARW8" s="130"/>
      <c r="ARX8" s="130"/>
      <c r="ARY8" s="130"/>
      <c r="ARZ8" s="130"/>
      <c r="ASA8" s="130"/>
      <c r="ASB8" s="130"/>
      <c r="ASC8" s="130"/>
      <c r="ASD8" s="130"/>
      <c r="ASE8" s="130"/>
      <c r="ASF8" s="130"/>
      <c r="ASG8" s="130"/>
      <c r="ASH8" s="130"/>
      <c r="ASI8" s="130"/>
      <c r="ASJ8" s="130"/>
      <c r="ASK8" s="130"/>
      <c r="ASL8" s="130"/>
      <c r="ASM8" s="130"/>
      <c r="ASN8" s="130"/>
      <c r="ASO8" s="130"/>
      <c r="ASP8" s="130"/>
      <c r="ASQ8" s="130"/>
      <c r="ASR8" s="130"/>
      <c r="ASS8" s="130"/>
      <c r="AST8" s="130"/>
      <c r="ASU8" s="130"/>
      <c r="ASV8" s="130"/>
      <c r="ASW8" s="130"/>
      <c r="ASX8" s="130"/>
      <c r="ASY8" s="130"/>
      <c r="ASZ8" s="130"/>
      <c r="ATA8" s="130"/>
      <c r="ATB8" s="130"/>
      <c r="ATC8" s="130"/>
      <c r="ATD8" s="130"/>
      <c r="ATE8" s="130"/>
      <c r="ATF8" s="130"/>
      <c r="ATG8" s="130"/>
      <c r="ATH8" s="130"/>
      <c r="ATI8" s="130"/>
      <c r="ATJ8" s="130"/>
      <c r="ATK8" s="130"/>
      <c r="ATL8" s="130"/>
      <c r="ATM8" s="130"/>
      <c r="ATN8" s="130"/>
      <c r="ATO8" s="130"/>
      <c r="ATP8" s="130"/>
      <c r="ATQ8" s="130"/>
      <c r="ATR8" s="130"/>
      <c r="ATS8" s="130"/>
      <c r="ATT8" s="130"/>
      <c r="ATU8" s="130"/>
      <c r="ATV8" s="130"/>
      <c r="ATW8" s="130"/>
      <c r="ATX8" s="130"/>
      <c r="ATY8" s="130"/>
      <c r="ATZ8" s="130"/>
      <c r="AUA8" s="130"/>
      <c r="AUB8" s="130"/>
      <c r="AUC8" s="130"/>
      <c r="AUD8" s="130"/>
      <c r="AUE8" s="130"/>
      <c r="AUF8" s="130"/>
      <c r="AUG8" s="130"/>
      <c r="AUH8" s="130"/>
      <c r="AUI8" s="130"/>
      <c r="AUJ8" s="130"/>
      <c r="AUK8" s="130"/>
      <c r="AUL8" s="130"/>
      <c r="AUM8" s="130"/>
      <c r="AUN8" s="130"/>
      <c r="AUO8" s="130"/>
      <c r="AUP8" s="130"/>
      <c r="AUQ8" s="130"/>
      <c r="AUR8" s="130"/>
      <c r="AUS8" s="130"/>
      <c r="AUT8" s="130"/>
      <c r="AUU8" s="130"/>
      <c r="AUV8" s="130"/>
      <c r="AUW8" s="130"/>
      <c r="AUX8" s="130"/>
      <c r="AUY8" s="130"/>
      <c r="AUZ8" s="130"/>
      <c r="AVA8" s="130"/>
      <c r="AVB8" s="130"/>
      <c r="AVC8" s="130"/>
      <c r="AVD8" s="130"/>
      <c r="AVE8" s="130"/>
      <c r="AVF8" s="130"/>
      <c r="AVG8" s="130"/>
      <c r="AVH8" s="130"/>
      <c r="AVI8" s="130"/>
      <c r="AVJ8" s="130"/>
      <c r="AVK8" s="130"/>
      <c r="AVL8" s="130"/>
      <c r="AVM8" s="130"/>
      <c r="AVN8" s="130"/>
      <c r="AVO8" s="130"/>
      <c r="AVP8" s="130"/>
      <c r="AVQ8" s="130"/>
      <c r="AVR8" s="130"/>
      <c r="AVS8" s="130"/>
      <c r="AVT8" s="130"/>
      <c r="AVU8" s="130"/>
      <c r="AVV8" s="130"/>
      <c r="AVW8" s="130"/>
      <c r="AVX8" s="130"/>
      <c r="AVY8" s="130"/>
      <c r="AVZ8" s="130"/>
      <c r="AWA8" s="130"/>
      <c r="AWB8" s="130"/>
      <c r="AWC8" s="130"/>
      <c r="AWD8" s="130"/>
      <c r="AWE8" s="130"/>
      <c r="AWF8" s="130"/>
      <c r="AWG8" s="130"/>
      <c r="AWH8" s="130"/>
      <c r="AWI8" s="130"/>
      <c r="AWJ8" s="130"/>
      <c r="AWK8" s="130"/>
      <c r="AWL8" s="130"/>
      <c r="AWM8" s="130"/>
      <c r="AWN8" s="130"/>
      <c r="AWO8" s="130"/>
      <c r="AWP8" s="130"/>
      <c r="AWQ8" s="130"/>
      <c r="AWR8" s="130"/>
      <c r="AWS8" s="130"/>
      <c r="AWT8" s="130"/>
      <c r="AWU8" s="130"/>
      <c r="AWV8" s="130"/>
      <c r="AWW8" s="130"/>
      <c r="AWX8" s="130"/>
      <c r="AWY8" s="130"/>
      <c r="AWZ8" s="130"/>
      <c r="AXA8" s="130"/>
      <c r="AXB8" s="130"/>
      <c r="AXC8" s="130"/>
      <c r="AXD8" s="130"/>
      <c r="AXE8" s="130"/>
      <c r="AXF8" s="130"/>
      <c r="AXG8" s="130"/>
      <c r="AXH8" s="130"/>
      <c r="AXI8" s="130"/>
      <c r="AXJ8" s="130"/>
      <c r="AXK8" s="130"/>
      <c r="AXL8" s="130"/>
      <c r="AXM8" s="130"/>
      <c r="AXN8" s="130"/>
      <c r="AXO8" s="130"/>
      <c r="AXP8" s="130"/>
      <c r="AXQ8" s="130"/>
      <c r="AXR8" s="130"/>
      <c r="AXS8" s="130"/>
      <c r="AXT8" s="130"/>
      <c r="AXU8" s="130"/>
      <c r="AXV8" s="130"/>
      <c r="AXW8" s="130"/>
      <c r="AXX8" s="130"/>
      <c r="AXY8" s="130"/>
      <c r="AXZ8" s="130"/>
      <c r="AYA8" s="130"/>
      <c r="AYB8" s="130"/>
      <c r="AYC8" s="130"/>
      <c r="AYD8" s="130"/>
      <c r="AYE8" s="130"/>
      <c r="AYF8" s="130"/>
      <c r="AYG8" s="130"/>
      <c r="AYH8" s="130"/>
      <c r="AYI8" s="130"/>
      <c r="AYJ8" s="130"/>
      <c r="AYK8" s="130"/>
      <c r="AYL8" s="130"/>
      <c r="AYM8" s="130"/>
      <c r="AYN8" s="130"/>
      <c r="AYO8" s="130"/>
      <c r="AYP8" s="130"/>
      <c r="AYQ8" s="130"/>
      <c r="AYR8" s="130"/>
      <c r="AYS8" s="130"/>
      <c r="AYT8" s="130"/>
      <c r="AYU8" s="130"/>
      <c r="AYV8" s="130"/>
      <c r="AYW8" s="130"/>
      <c r="AYX8" s="130"/>
      <c r="AYY8" s="130"/>
      <c r="AYZ8" s="130"/>
      <c r="AZA8" s="130"/>
      <c r="AZB8" s="130"/>
      <c r="AZC8" s="130"/>
      <c r="AZD8" s="130"/>
      <c r="AZE8" s="130"/>
      <c r="AZF8" s="130"/>
      <c r="AZG8" s="130"/>
      <c r="AZH8" s="130"/>
      <c r="AZI8" s="130"/>
      <c r="AZJ8" s="130"/>
      <c r="AZK8" s="130"/>
      <c r="AZL8" s="130"/>
      <c r="AZM8" s="130"/>
      <c r="AZN8" s="130"/>
      <c r="AZO8" s="130"/>
      <c r="AZP8" s="130"/>
      <c r="AZQ8" s="130"/>
      <c r="AZR8" s="130"/>
      <c r="AZS8" s="130"/>
      <c r="AZT8" s="130"/>
      <c r="AZU8" s="130"/>
      <c r="AZV8" s="130"/>
      <c r="AZW8" s="130"/>
      <c r="AZX8" s="130"/>
      <c r="AZY8" s="130"/>
      <c r="AZZ8" s="130"/>
      <c r="BAA8" s="130"/>
      <c r="BAB8" s="130"/>
      <c r="BAC8" s="130"/>
      <c r="BAD8" s="130"/>
      <c r="BAE8" s="130"/>
      <c r="BAF8" s="130"/>
      <c r="BAG8" s="130"/>
      <c r="BAH8" s="130"/>
      <c r="BAI8" s="130"/>
      <c r="BAJ8" s="130"/>
      <c r="BAK8" s="130"/>
      <c r="BAL8" s="130"/>
      <c r="BAM8" s="130"/>
      <c r="BAN8" s="130"/>
      <c r="BAO8" s="130"/>
      <c r="BAP8" s="130"/>
      <c r="BAQ8" s="130"/>
      <c r="BAR8" s="130"/>
      <c r="BAS8" s="130"/>
      <c r="BAT8" s="130"/>
    </row>
    <row r="9" spans="1:1398" ht="20.149999999999999" customHeight="1" thickBot="1" x14ac:dyDescent="0.4">
      <c r="A9" s="298" t="s">
        <v>196</v>
      </c>
      <c r="B9" s="299"/>
      <c r="C9" s="299"/>
      <c r="D9" s="299"/>
      <c r="E9" s="299"/>
      <c r="F9" s="299"/>
      <c r="G9" s="299"/>
      <c r="H9" s="299"/>
      <c r="I9" s="299"/>
      <c r="J9" s="299"/>
      <c r="K9" s="300"/>
    </row>
    <row r="10" spans="1:1398" s="41" customFormat="1" ht="20.149999999999999" customHeight="1" x14ac:dyDescent="0.35">
      <c r="A10" s="145">
        <v>1</v>
      </c>
      <c r="B10" s="69" t="s">
        <v>197</v>
      </c>
      <c r="C10" s="80">
        <v>41949</v>
      </c>
      <c r="D10" s="146" t="s">
        <v>198</v>
      </c>
      <c r="E10" s="146">
        <v>33.4</v>
      </c>
      <c r="F10" s="146">
        <v>140</v>
      </c>
      <c r="G10" s="73">
        <f>E10/(F10/100)^2</f>
        <v>17.040816326530614</v>
      </c>
      <c r="H10" s="148" t="s">
        <v>20</v>
      </c>
      <c r="I10" s="151" t="s">
        <v>65</v>
      </c>
      <c r="J10" s="84" t="s">
        <v>17</v>
      </c>
      <c r="K10" s="99" t="s">
        <v>17</v>
      </c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130"/>
      <c r="BJ10" s="130"/>
      <c r="BK10" s="130"/>
      <c r="BL10" s="130"/>
      <c r="BM10" s="130"/>
      <c r="BN10" s="130"/>
      <c r="BO10" s="130"/>
      <c r="BP10" s="130"/>
      <c r="BQ10" s="130"/>
      <c r="BR10" s="130"/>
      <c r="BS10" s="130"/>
      <c r="BT10" s="130"/>
      <c r="BU10" s="130"/>
      <c r="BV10" s="130"/>
      <c r="BW10" s="130"/>
      <c r="BX10" s="130"/>
      <c r="BY10" s="130"/>
      <c r="BZ10" s="130"/>
      <c r="CA10" s="130"/>
      <c r="CB10" s="130"/>
      <c r="CC10" s="130"/>
      <c r="CD10" s="130"/>
      <c r="CE10" s="130"/>
      <c r="CF10" s="130"/>
      <c r="CG10" s="130"/>
      <c r="CH10" s="130"/>
      <c r="CI10" s="130"/>
      <c r="CJ10" s="130"/>
      <c r="CK10" s="130"/>
      <c r="CL10" s="130"/>
      <c r="CM10" s="130"/>
      <c r="CN10" s="130"/>
      <c r="CO10" s="130"/>
      <c r="CP10" s="130"/>
      <c r="CQ10" s="130"/>
      <c r="CR10" s="130"/>
      <c r="CS10" s="130"/>
      <c r="CT10" s="130"/>
      <c r="CU10" s="130"/>
      <c r="CV10" s="130"/>
      <c r="CW10" s="130"/>
      <c r="CX10" s="130"/>
      <c r="CY10" s="130"/>
      <c r="CZ10" s="130"/>
      <c r="DA10" s="130"/>
      <c r="DB10" s="130"/>
      <c r="DC10" s="130"/>
      <c r="DD10" s="130"/>
      <c r="DE10" s="130"/>
      <c r="DF10" s="130"/>
      <c r="DG10" s="130"/>
      <c r="DH10" s="130"/>
      <c r="DI10" s="130"/>
      <c r="DJ10" s="130"/>
      <c r="DK10" s="130"/>
      <c r="DL10" s="130"/>
      <c r="DM10" s="130"/>
      <c r="DN10" s="130"/>
      <c r="DO10" s="130"/>
      <c r="DP10" s="130"/>
      <c r="DQ10" s="130"/>
      <c r="DR10" s="130"/>
      <c r="DS10" s="130"/>
      <c r="DT10" s="130"/>
      <c r="DU10" s="130"/>
      <c r="DV10" s="130"/>
      <c r="DW10" s="130"/>
      <c r="DX10" s="130"/>
      <c r="DY10" s="130"/>
      <c r="DZ10" s="130"/>
      <c r="EA10" s="130"/>
      <c r="EB10" s="130"/>
      <c r="EC10" s="130"/>
      <c r="ED10" s="130"/>
      <c r="EE10" s="130"/>
      <c r="EF10" s="130"/>
      <c r="EG10" s="130"/>
      <c r="EH10" s="130"/>
      <c r="EI10" s="130"/>
      <c r="EJ10" s="130"/>
      <c r="EK10" s="130"/>
      <c r="EL10" s="130"/>
      <c r="EM10" s="130"/>
      <c r="EN10" s="130"/>
      <c r="EO10" s="130"/>
      <c r="EP10" s="130"/>
      <c r="EQ10" s="130"/>
      <c r="ER10" s="130"/>
      <c r="ES10" s="130"/>
      <c r="ET10" s="130"/>
      <c r="EU10" s="130"/>
      <c r="EV10" s="130"/>
      <c r="EW10" s="130"/>
      <c r="EX10" s="130"/>
      <c r="EY10" s="130"/>
      <c r="EZ10" s="130"/>
      <c r="FA10" s="130"/>
      <c r="FB10" s="130"/>
      <c r="FC10" s="130"/>
      <c r="FD10" s="130"/>
      <c r="FE10" s="130"/>
      <c r="FF10" s="130"/>
      <c r="FG10" s="130"/>
      <c r="FH10" s="130"/>
      <c r="FI10" s="130"/>
      <c r="FJ10" s="130"/>
      <c r="FK10" s="130"/>
      <c r="FL10" s="130"/>
      <c r="FM10" s="130"/>
      <c r="FN10" s="130"/>
      <c r="FO10" s="130"/>
      <c r="FP10" s="130"/>
      <c r="FQ10" s="130"/>
      <c r="FR10" s="130"/>
      <c r="FS10" s="130"/>
      <c r="FT10" s="130"/>
      <c r="FU10" s="130"/>
      <c r="FV10" s="130"/>
      <c r="FW10" s="130"/>
      <c r="FX10" s="130"/>
      <c r="FY10" s="130"/>
      <c r="FZ10" s="130"/>
      <c r="GA10" s="130"/>
      <c r="GB10" s="130"/>
      <c r="GC10" s="130"/>
      <c r="GD10" s="130"/>
      <c r="GE10" s="130"/>
      <c r="GF10" s="130"/>
      <c r="GG10" s="130"/>
      <c r="GH10" s="130"/>
      <c r="GI10" s="130"/>
      <c r="GJ10" s="130"/>
      <c r="GK10" s="130"/>
      <c r="GL10" s="130"/>
      <c r="GM10" s="130"/>
      <c r="GN10" s="130"/>
      <c r="GO10" s="130"/>
      <c r="GP10" s="130"/>
      <c r="GQ10" s="130"/>
      <c r="GR10" s="130"/>
      <c r="GS10" s="130"/>
      <c r="GT10" s="130"/>
      <c r="GU10" s="130"/>
      <c r="GV10" s="130"/>
      <c r="GW10" s="130"/>
      <c r="GX10" s="130"/>
      <c r="GY10" s="130"/>
      <c r="GZ10" s="130"/>
      <c r="HA10" s="130"/>
      <c r="HB10" s="130"/>
      <c r="HC10" s="130"/>
      <c r="HD10" s="130"/>
      <c r="HE10" s="130"/>
      <c r="HF10" s="130"/>
      <c r="HG10" s="130"/>
      <c r="HH10" s="130"/>
      <c r="HI10" s="130"/>
      <c r="HJ10" s="130"/>
      <c r="HK10" s="130"/>
      <c r="HL10" s="130"/>
      <c r="HM10" s="130"/>
      <c r="HN10" s="130"/>
      <c r="HO10" s="130"/>
      <c r="HP10" s="130"/>
      <c r="HQ10" s="130"/>
      <c r="HR10" s="130"/>
      <c r="HS10" s="130"/>
      <c r="HT10" s="130"/>
      <c r="HU10" s="130"/>
      <c r="HV10" s="130"/>
      <c r="HW10" s="130"/>
      <c r="HX10" s="130"/>
      <c r="HY10" s="130"/>
      <c r="HZ10" s="130"/>
      <c r="IA10" s="130"/>
      <c r="IB10" s="130"/>
      <c r="IC10" s="130"/>
      <c r="ID10" s="130"/>
      <c r="IE10" s="130"/>
      <c r="IF10" s="130"/>
      <c r="IG10" s="130"/>
      <c r="IH10" s="130"/>
      <c r="II10" s="130"/>
      <c r="IJ10" s="130"/>
      <c r="IK10" s="130"/>
      <c r="IL10" s="130"/>
      <c r="IM10" s="130"/>
      <c r="IN10" s="130"/>
      <c r="IO10" s="130"/>
      <c r="IP10" s="130"/>
      <c r="IQ10" s="130"/>
      <c r="IR10" s="130"/>
      <c r="IS10" s="130"/>
      <c r="IT10" s="130"/>
      <c r="IU10" s="130"/>
      <c r="IV10" s="130"/>
      <c r="IW10" s="130"/>
      <c r="IX10" s="130"/>
      <c r="IY10" s="130"/>
      <c r="IZ10" s="130"/>
      <c r="JA10" s="130"/>
      <c r="JB10" s="130"/>
      <c r="JC10" s="130"/>
      <c r="JD10" s="130"/>
      <c r="JE10" s="130"/>
      <c r="JF10" s="130"/>
      <c r="JG10" s="130"/>
      <c r="JH10" s="130"/>
      <c r="JI10" s="130"/>
      <c r="JJ10" s="130"/>
      <c r="JK10" s="130"/>
      <c r="JL10" s="130"/>
      <c r="JM10" s="130"/>
      <c r="JN10" s="130"/>
      <c r="JO10" s="130"/>
      <c r="JP10" s="130"/>
      <c r="JQ10" s="130"/>
      <c r="JR10" s="130"/>
      <c r="JS10" s="130"/>
      <c r="JT10" s="130"/>
      <c r="JU10" s="130"/>
      <c r="JV10" s="130"/>
      <c r="JW10" s="130"/>
      <c r="JX10" s="130"/>
      <c r="JY10" s="130"/>
      <c r="JZ10" s="130"/>
      <c r="KA10" s="130"/>
      <c r="KB10" s="130"/>
      <c r="KC10" s="130"/>
      <c r="KD10" s="130"/>
      <c r="KE10" s="130"/>
      <c r="KF10" s="130"/>
      <c r="KG10" s="130"/>
      <c r="KH10" s="130"/>
      <c r="KI10" s="130"/>
      <c r="KJ10" s="130"/>
      <c r="KK10" s="130"/>
      <c r="KL10" s="130"/>
      <c r="KM10" s="130"/>
      <c r="KN10" s="130"/>
      <c r="KO10" s="130"/>
      <c r="KP10" s="130"/>
      <c r="KQ10" s="130"/>
      <c r="KR10" s="130"/>
      <c r="KS10" s="130"/>
      <c r="KT10" s="130"/>
      <c r="KU10" s="130"/>
      <c r="KV10" s="130"/>
      <c r="KW10" s="130"/>
      <c r="KX10" s="130"/>
      <c r="KY10" s="130"/>
      <c r="KZ10" s="130"/>
      <c r="LA10" s="130"/>
      <c r="LB10" s="130"/>
      <c r="LC10" s="130"/>
      <c r="LD10" s="130"/>
      <c r="LE10" s="130"/>
      <c r="LF10" s="130"/>
      <c r="LG10" s="130"/>
      <c r="LH10" s="130"/>
      <c r="LI10" s="130"/>
      <c r="LJ10" s="130"/>
      <c r="LK10" s="130"/>
      <c r="LL10" s="130"/>
      <c r="LM10" s="130"/>
      <c r="LN10" s="130"/>
      <c r="LO10" s="130"/>
      <c r="LP10" s="130"/>
      <c r="LQ10" s="130"/>
      <c r="LR10" s="130"/>
      <c r="LS10" s="130"/>
      <c r="LT10" s="130"/>
      <c r="LU10" s="130"/>
      <c r="LV10" s="130"/>
      <c r="LW10" s="130"/>
      <c r="LX10" s="130"/>
      <c r="LY10" s="130"/>
      <c r="LZ10" s="130"/>
      <c r="MA10" s="130"/>
      <c r="MB10" s="130"/>
      <c r="MC10" s="130"/>
      <c r="MD10" s="130"/>
      <c r="ME10" s="130"/>
      <c r="MF10" s="130"/>
      <c r="MG10" s="130"/>
      <c r="MH10" s="130"/>
      <c r="MI10" s="130"/>
      <c r="MJ10" s="130"/>
      <c r="MK10" s="130"/>
      <c r="ML10" s="130"/>
      <c r="MM10" s="130"/>
      <c r="MN10" s="130"/>
      <c r="MO10" s="130"/>
      <c r="MP10" s="130"/>
      <c r="MQ10" s="130"/>
      <c r="MR10" s="130"/>
      <c r="MS10" s="130"/>
      <c r="MT10" s="130"/>
      <c r="MU10" s="130"/>
      <c r="MV10" s="130"/>
      <c r="MW10" s="130"/>
      <c r="MX10" s="130"/>
      <c r="MY10" s="130"/>
      <c r="MZ10" s="130"/>
      <c r="NA10" s="130"/>
      <c r="NB10" s="130"/>
      <c r="NC10" s="130"/>
      <c r="ND10" s="130"/>
      <c r="NE10" s="130"/>
      <c r="NF10" s="130"/>
      <c r="NG10" s="130"/>
      <c r="NH10" s="130"/>
      <c r="NI10" s="130"/>
      <c r="NJ10" s="130"/>
      <c r="NK10" s="130"/>
      <c r="NL10" s="130"/>
      <c r="NM10" s="130"/>
      <c r="NN10" s="130"/>
      <c r="NO10" s="130"/>
      <c r="NP10" s="130"/>
      <c r="NQ10" s="130"/>
      <c r="NR10" s="130"/>
      <c r="NS10" s="130"/>
      <c r="NT10" s="130"/>
      <c r="NU10" s="130"/>
      <c r="NV10" s="130"/>
      <c r="NW10" s="130"/>
      <c r="NX10" s="130"/>
      <c r="NY10" s="130"/>
      <c r="NZ10" s="130"/>
      <c r="OA10" s="130"/>
      <c r="OB10" s="130"/>
      <c r="OC10" s="130"/>
      <c r="OD10" s="130"/>
      <c r="OE10" s="130"/>
      <c r="OF10" s="130"/>
      <c r="OG10" s="130"/>
      <c r="OH10" s="130"/>
      <c r="OI10" s="130"/>
      <c r="OJ10" s="130"/>
      <c r="OK10" s="130"/>
      <c r="OL10" s="130"/>
      <c r="OM10" s="130"/>
      <c r="ON10" s="130"/>
      <c r="OO10" s="130"/>
      <c r="OP10" s="130"/>
      <c r="OQ10" s="130"/>
      <c r="OR10" s="130"/>
      <c r="OS10" s="130"/>
      <c r="OT10" s="130"/>
      <c r="OU10" s="130"/>
      <c r="OV10" s="130"/>
      <c r="OW10" s="130"/>
      <c r="OX10" s="130"/>
      <c r="OY10" s="130"/>
      <c r="OZ10" s="130"/>
      <c r="PA10" s="130"/>
      <c r="PB10" s="130"/>
      <c r="PC10" s="130"/>
      <c r="PD10" s="130"/>
      <c r="PE10" s="130"/>
      <c r="PF10" s="130"/>
      <c r="PG10" s="130"/>
      <c r="PH10" s="130"/>
      <c r="PI10" s="130"/>
      <c r="PJ10" s="130"/>
      <c r="PK10" s="130"/>
      <c r="PL10" s="130"/>
      <c r="PM10" s="130"/>
      <c r="PN10" s="130"/>
      <c r="PO10" s="130"/>
      <c r="PP10" s="130"/>
      <c r="PQ10" s="130"/>
      <c r="PR10" s="130"/>
      <c r="PS10" s="130"/>
      <c r="PT10" s="130"/>
      <c r="PU10" s="130"/>
      <c r="PV10" s="130"/>
      <c r="PW10" s="130"/>
      <c r="PX10" s="130"/>
      <c r="PY10" s="130"/>
      <c r="PZ10" s="130"/>
      <c r="QA10" s="130"/>
      <c r="QB10" s="130"/>
      <c r="QC10" s="130"/>
      <c r="QD10" s="130"/>
      <c r="QE10" s="130"/>
      <c r="QF10" s="130"/>
      <c r="QG10" s="130"/>
      <c r="QH10" s="130"/>
      <c r="QI10" s="130"/>
      <c r="QJ10" s="130"/>
      <c r="QK10" s="130"/>
      <c r="QL10" s="130"/>
      <c r="QM10" s="130"/>
      <c r="QN10" s="130"/>
      <c r="QO10" s="130"/>
      <c r="QP10" s="130"/>
      <c r="QQ10" s="130"/>
      <c r="QR10" s="130"/>
      <c r="QS10" s="130"/>
      <c r="QT10" s="130"/>
      <c r="QU10" s="130"/>
      <c r="QV10" s="130"/>
      <c r="QW10" s="130"/>
      <c r="QX10" s="130"/>
      <c r="QY10" s="130"/>
      <c r="QZ10" s="130"/>
      <c r="RA10" s="130"/>
      <c r="RB10" s="130"/>
      <c r="RC10" s="130"/>
      <c r="RD10" s="130"/>
      <c r="RE10" s="130"/>
      <c r="RF10" s="130"/>
      <c r="RG10" s="130"/>
      <c r="RH10" s="130"/>
      <c r="RI10" s="130"/>
      <c r="RJ10" s="130"/>
      <c r="RK10" s="130"/>
      <c r="RL10" s="130"/>
      <c r="RM10" s="130"/>
      <c r="RN10" s="130"/>
      <c r="RO10" s="130"/>
      <c r="RP10" s="130"/>
      <c r="RQ10" s="130"/>
      <c r="RR10" s="130"/>
      <c r="RS10" s="130"/>
      <c r="RT10" s="130"/>
      <c r="RU10" s="130"/>
      <c r="RV10" s="130"/>
      <c r="RW10" s="130"/>
      <c r="RX10" s="130"/>
      <c r="RY10" s="130"/>
      <c r="RZ10" s="130"/>
      <c r="SA10" s="130"/>
      <c r="SB10" s="130"/>
      <c r="SC10" s="130"/>
      <c r="SD10" s="130"/>
      <c r="SE10" s="130"/>
      <c r="SF10" s="130"/>
      <c r="SG10" s="130"/>
      <c r="SH10" s="130"/>
      <c r="SI10" s="130"/>
      <c r="SJ10" s="130"/>
      <c r="SK10" s="130"/>
      <c r="SL10" s="130"/>
      <c r="SM10" s="130"/>
      <c r="SN10" s="130"/>
      <c r="SO10" s="130"/>
      <c r="SP10" s="130"/>
      <c r="SQ10" s="130"/>
      <c r="SR10" s="130"/>
      <c r="SS10" s="130"/>
      <c r="ST10" s="130"/>
      <c r="SU10" s="130"/>
      <c r="SV10" s="130"/>
      <c r="SW10" s="130"/>
      <c r="SX10" s="130"/>
      <c r="SY10" s="130"/>
      <c r="SZ10" s="130"/>
      <c r="TA10" s="130"/>
      <c r="TB10" s="130"/>
      <c r="TC10" s="130"/>
      <c r="TD10" s="130"/>
      <c r="TE10" s="130"/>
      <c r="TF10" s="130"/>
      <c r="TG10" s="130"/>
      <c r="TH10" s="130"/>
      <c r="TI10" s="130"/>
      <c r="TJ10" s="130"/>
      <c r="TK10" s="130"/>
      <c r="TL10" s="130"/>
      <c r="TM10" s="130"/>
      <c r="TN10" s="130"/>
      <c r="TO10" s="130"/>
      <c r="TP10" s="130"/>
      <c r="TQ10" s="130"/>
      <c r="TR10" s="130"/>
      <c r="TS10" s="130"/>
      <c r="TT10" s="130"/>
      <c r="TU10" s="130"/>
      <c r="TV10" s="130"/>
      <c r="TW10" s="130"/>
      <c r="TX10" s="130"/>
      <c r="TY10" s="130"/>
      <c r="TZ10" s="130"/>
      <c r="UA10" s="130"/>
      <c r="UB10" s="130"/>
      <c r="UC10" s="130"/>
      <c r="UD10" s="130"/>
      <c r="UE10" s="130"/>
      <c r="UF10" s="130"/>
      <c r="UG10" s="130"/>
      <c r="UH10" s="130"/>
      <c r="UI10" s="130"/>
      <c r="UJ10" s="130"/>
      <c r="UK10" s="130"/>
      <c r="UL10" s="130"/>
      <c r="UM10" s="130"/>
      <c r="UN10" s="130"/>
      <c r="UO10" s="130"/>
      <c r="UP10" s="130"/>
      <c r="UQ10" s="130"/>
      <c r="UR10" s="130"/>
      <c r="US10" s="130"/>
      <c r="UT10" s="130"/>
      <c r="UU10" s="130"/>
      <c r="UV10" s="130"/>
      <c r="UW10" s="130"/>
      <c r="UX10" s="130"/>
      <c r="UY10" s="130"/>
      <c r="UZ10" s="130"/>
      <c r="VA10" s="130"/>
      <c r="VB10" s="130"/>
      <c r="VC10" s="130"/>
      <c r="VD10" s="130"/>
      <c r="VE10" s="130"/>
      <c r="VF10" s="130"/>
      <c r="VG10" s="130"/>
      <c r="VH10" s="130"/>
      <c r="VI10" s="130"/>
      <c r="VJ10" s="130"/>
      <c r="VK10" s="130"/>
      <c r="VL10" s="130"/>
      <c r="VM10" s="130"/>
      <c r="VN10" s="130"/>
      <c r="VO10" s="130"/>
      <c r="VP10" s="130"/>
      <c r="VQ10" s="130"/>
      <c r="VR10" s="130"/>
      <c r="VS10" s="130"/>
      <c r="VT10" s="130"/>
      <c r="VU10" s="130"/>
      <c r="VV10" s="130"/>
      <c r="VW10" s="130"/>
      <c r="VX10" s="130"/>
      <c r="VY10" s="130"/>
      <c r="VZ10" s="130"/>
      <c r="WA10" s="130"/>
      <c r="WB10" s="130"/>
      <c r="WC10" s="130"/>
      <c r="WD10" s="130"/>
      <c r="WE10" s="130"/>
      <c r="WF10" s="130"/>
      <c r="WG10" s="130"/>
      <c r="WH10" s="130"/>
      <c r="WI10" s="130"/>
      <c r="WJ10" s="130"/>
      <c r="WK10" s="130"/>
      <c r="WL10" s="130"/>
      <c r="WM10" s="130"/>
      <c r="WN10" s="130"/>
      <c r="WO10" s="130"/>
      <c r="WP10" s="130"/>
      <c r="WQ10" s="130"/>
      <c r="WR10" s="130"/>
      <c r="WS10" s="130"/>
      <c r="WT10" s="130"/>
      <c r="WU10" s="130"/>
      <c r="WV10" s="130"/>
      <c r="WW10" s="130"/>
      <c r="WX10" s="130"/>
      <c r="WY10" s="130"/>
      <c r="WZ10" s="130"/>
      <c r="XA10" s="130"/>
      <c r="XB10" s="130"/>
      <c r="XC10" s="130"/>
      <c r="XD10" s="130"/>
      <c r="XE10" s="130"/>
      <c r="XF10" s="130"/>
      <c r="XG10" s="130"/>
      <c r="XH10" s="130"/>
      <c r="XI10" s="130"/>
      <c r="XJ10" s="130"/>
      <c r="XK10" s="130"/>
      <c r="XL10" s="130"/>
      <c r="XM10" s="130"/>
      <c r="XN10" s="130"/>
      <c r="XO10" s="130"/>
      <c r="XP10" s="130"/>
      <c r="XQ10" s="130"/>
      <c r="XR10" s="130"/>
      <c r="XS10" s="130"/>
      <c r="XT10" s="130"/>
      <c r="XU10" s="130"/>
      <c r="XV10" s="130"/>
      <c r="XW10" s="130"/>
      <c r="XX10" s="130"/>
      <c r="XY10" s="130"/>
      <c r="XZ10" s="130"/>
      <c r="YA10" s="130"/>
      <c r="YB10" s="130"/>
      <c r="YC10" s="130"/>
      <c r="YD10" s="130"/>
      <c r="YE10" s="130"/>
      <c r="YF10" s="130"/>
      <c r="YG10" s="130"/>
      <c r="YH10" s="130"/>
      <c r="YI10" s="130"/>
      <c r="YJ10" s="130"/>
      <c r="YK10" s="130"/>
      <c r="YL10" s="130"/>
      <c r="YM10" s="130"/>
      <c r="YN10" s="130"/>
      <c r="YO10" s="130"/>
      <c r="YP10" s="130"/>
      <c r="YQ10" s="130"/>
      <c r="YR10" s="130"/>
      <c r="YS10" s="130"/>
      <c r="YT10" s="130"/>
      <c r="YU10" s="130"/>
      <c r="YV10" s="130"/>
      <c r="YW10" s="130"/>
      <c r="YX10" s="130"/>
      <c r="YY10" s="130"/>
      <c r="YZ10" s="130"/>
      <c r="ZA10" s="130"/>
      <c r="ZB10" s="130"/>
      <c r="ZC10" s="130"/>
      <c r="ZD10" s="130"/>
      <c r="ZE10" s="130"/>
      <c r="ZF10" s="130"/>
      <c r="ZG10" s="130"/>
      <c r="ZH10" s="130"/>
      <c r="ZI10" s="130"/>
      <c r="ZJ10" s="130"/>
      <c r="ZK10" s="130"/>
      <c r="ZL10" s="130"/>
      <c r="ZM10" s="130"/>
      <c r="ZN10" s="130"/>
      <c r="ZO10" s="130"/>
      <c r="ZP10" s="130"/>
      <c r="ZQ10" s="130"/>
      <c r="ZR10" s="130"/>
      <c r="ZS10" s="130"/>
      <c r="ZT10" s="130"/>
      <c r="ZU10" s="130"/>
      <c r="ZV10" s="130"/>
      <c r="ZW10" s="130"/>
      <c r="ZX10" s="130"/>
      <c r="ZY10" s="130"/>
      <c r="ZZ10" s="130"/>
      <c r="AAA10" s="130"/>
      <c r="AAB10" s="130"/>
      <c r="AAC10" s="130"/>
      <c r="AAD10" s="130"/>
      <c r="AAE10" s="130"/>
      <c r="AAF10" s="130"/>
      <c r="AAG10" s="130"/>
      <c r="AAH10" s="130"/>
      <c r="AAI10" s="130"/>
      <c r="AAJ10" s="130"/>
      <c r="AAK10" s="130"/>
      <c r="AAL10" s="130"/>
      <c r="AAM10" s="130"/>
      <c r="AAN10" s="130"/>
      <c r="AAO10" s="130"/>
      <c r="AAP10" s="130"/>
      <c r="AAQ10" s="130"/>
      <c r="AAR10" s="130"/>
      <c r="AAS10" s="130"/>
      <c r="AAT10" s="130"/>
      <c r="AAU10" s="130"/>
      <c r="AAV10" s="130"/>
      <c r="AAW10" s="130"/>
      <c r="AAX10" s="130"/>
      <c r="AAY10" s="130"/>
      <c r="AAZ10" s="130"/>
      <c r="ABA10" s="130"/>
      <c r="ABB10" s="130"/>
      <c r="ABC10" s="130"/>
      <c r="ABD10" s="130"/>
      <c r="ABE10" s="130"/>
      <c r="ABF10" s="130"/>
      <c r="ABG10" s="130"/>
      <c r="ABH10" s="130"/>
      <c r="ABI10" s="130"/>
      <c r="ABJ10" s="130"/>
      <c r="ABK10" s="130"/>
      <c r="ABL10" s="130"/>
      <c r="ABM10" s="130"/>
      <c r="ABN10" s="130"/>
      <c r="ABO10" s="130"/>
      <c r="ABP10" s="130"/>
      <c r="ABQ10" s="130"/>
      <c r="ABR10" s="130"/>
      <c r="ABS10" s="130"/>
      <c r="ABT10" s="130"/>
      <c r="ABU10" s="130"/>
      <c r="ABV10" s="130"/>
      <c r="ABW10" s="130"/>
      <c r="ABX10" s="130"/>
      <c r="ABY10" s="130"/>
      <c r="ABZ10" s="130"/>
      <c r="ACA10" s="130"/>
      <c r="ACB10" s="130"/>
      <c r="ACC10" s="130"/>
      <c r="ACD10" s="130"/>
      <c r="ACE10" s="130"/>
      <c r="ACF10" s="130"/>
      <c r="ACG10" s="130"/>
      <c r="ACH10" s="130"/>
      <c r="ACI10" s="130"/>
      <c r="ACJ10" s="130"/>
      <c r="ACK10" s="130"/>
      <c r="ACL10" s="130"/>
      <c r="ACM10" s="130"/>
      <c r="ACN10" s="130"/>
      <c r="ACO10" s="130"/>
      <c r="ACP10" s="130"/>
      <c r="ACQ10" s="130"/>
      <c r="ACR10" s="130"/>
      <c r="ACS10" s="130"/>
      <c r="ACT10" s="130"/>
      <c r="ACU10" s="130"/>
      <c r="ACV10" s="130"/>
      <c r="ACW10" s="130"/>
      <c r="ACX10" s="130"/>
      <c r="ACY10" s="130"/>
      <c r="ACZ10" s="130"/>
      <c r="ADA10" s="130"/>
      <c r="ADB10" s="130"/>
      <c r="ADC10" s="130"/>
      <c r="ADD10" s="130"/>
      <c r="ADE10" s="130"/>
      <c r="ADF10" s="130"/>
      <c r="ADG10" s="130"/>
      <c r="ADH10" s="130"/>
      <c r="ADI10" s="130"/>
      <c r="ADJ10" s="130"/>
      <c r="ADK10" s="130"/>
      <c r="ADL10" s="130"/>
      <c r="ADM10" s="130"/>
      <c r="ADN10" s="130"/>
      <c r="ADO10" s="130"/>
      <c r="ADP10" s="130"/>
      <c r="ADQ10" s="130"/>
      <c r="ADR10" s="130"/>
      <c r="ADS10" s="130"/>
      <c r="ADT10" s="130"/>
      <c r="ADU10" s="130"/>
      <c r="ADV10" s="130"/>
      <c r="ADW10" s="130"/>
      <c r="ADX10" s="130"/>
      <c r="ADY10" s="130"/>
      <c r="ADZ10" s="130"/>
      <c r="AEA10" s="130"/>
      <c r="AEB10" s="130"/>
      <c r="AEC10" s="130"/>
      <c r="AED10" s="130"/>
      <c r="AEE10" s="130"/>
      <c r="AEF10" s="130"/>
      <c r="AEG10" s="130"/>
      <c r="AEH10" s="130"/>
      <c r="AEI10" s="130"/>
      <c r="AEJ10" s="130"/>
      <c r="AEK10" s="130"/>
      <c r="AEL10" s="130"/>
      <c r="AEM10" s="130"/>
      <c r="AEN10" s="130"/>
      <c r="AEO10" s="130"/>
      <c r="AEP10" s="130"/>
      <c r="AEQ10" s="130"/>
      <c r="AER10" s="130"/>
      <c r="AES10" s="130"/>
      <c r="AET10" s="130"/>
      <c r="AEU10" s="130"/>
      <c r="AEV10" s="130"/>
      <c r="AEW10" s="130"/>
      <c r="AEX10" s="130"/>
      <c r="AEY10" s="130"/>
      <c r="AEZ10" s="130"/>
      <c r="AFA10" s="130"/>
      <c r="AFB10" s="130"/>
      <c r="AFC10" s="130"/>
      <c r="AFD10" s="130"/>
      <c r="AFE10" s="130"/>
      <c r="AFF10" s="130"/>
      <c r="AFG10" s="130"/>
      <c r="AFH10" s="130"/>
      <c r="AFI10" s="130"/>
      <c r="AFJ10" s="130"/>
      <c r="AFK10" s="130"/>
      <c r="AFL10" s="130"/>
      <c r="AFM10" s="130"/>
      <c r="AFN10" s="130"/>
      <c r="AFO10" s="130"/>
      <c r="AFP10" s="130"/>
      <c r="AFQ10" s="130"/>
      <c r="AFR10" s="130"/>
      <c r="AFS10" s="130"/>
      <c r="AFT10" s="130"/>
      <c r="AFU10" s="130"/>
      <c r="AFV10" s="130"/>
      <c r="AFW10" s="130"/>
      <c r="AFX10" s="130"/>
      <c r="AFY10" s="130"/>
      <c r="AFZ10" s="130"/>
      <c r="AGA10" s="130"/>
      <c r="AGB10" s="130"/>
      <c r="AGC10" s="130"/>
      <c r="AGD10" s="130"/>
      <c r="AGE10" s="130"/>
      <c r="AGF10" s="130"/>
      <c r="AGG10" s="130"/>
      <c r="AGH10" s="130"/>
      <c r="AGI10" s="130"/>
      <c r="AGJ10" s="130"/>
      <c r="AGK10" s="130"/>
      <c r="AGL10" s="130"/>
      <c r="AGM10" s="130"/>
      <c r="AGN10" s="130"/>
      <c r="AGO10" s="130"/>
      <c r="AGP10" s="130"/>
      <c r="AGQ10" s="130"/>
      <c r="AGR10" s="130"/>
      <c r="AGS10" s="130"/>
      <c r="AGT10" s="130"/>
      <c r="AGU10" s="130"/>
      <c r="AGV10" s="130"/>
      <c r="AGW10" s="130"/>
      <c r="AGX10" s="130"/>
      <c r="AGY10" s="130"/>
      <c r="AGZ10" s="130"/>
      <c r="AHA10" s="130"/>
      <c r="AHB10" s="130"/>
      <c r="AHC10" s="130"/>
      <c r="AHD10" s="130"/>
      <c r="AHE10" s="130"/>
      <c r="AHF10" s="130"/>
      <c r="AHG10" s="130"/>
      <c r="AHH10" s="130"/>
      <c r="AHI10" s="130"/>
      <c r="AHJ10" s="130"/>
      <c r="AHK10" s="130"/>
      <c r="AHL10" s="130"/>
      <c r="AHM10" s="130"/>
      <c r="AHN10" s="130"/>
      <c r="AHO10" s="130"/>
      <c r="AHP10" s="130"/>
      <c r="AHQ10" s="130"/>
      <c r="AHR10" s="130"/>
      <c r="AHS10" s="130"/>
      <c r="AHT10" s="130"/>
      <c r="AHU10" s="130"/>
      <c r="AHV10" s="130"/>
      <c r="AHW10" s="130"/>
      <c r="AHX10" s="130"/>
      <c r="AHY10" s="130"/>
      <c r="AHZ10" s="130"/>
      <c r="AIA10" s="130"/>
      <c r="AIB10" s="130"/>
      <c r="AIC10" s="130"/>
      <c r="AID10" s="130"/>
      <c r="AIE10" s="130"/>
      <c r="AIF10" s="130"/>
      <c r="AIG10" s="130"/>
      <c r="AIH10" s="130"/>
      <c r="AII10" s="130"/>
      <c r="AIJ10" s="130"/>
      <c r="AIK10" s="130"/>
      <c r="AIL10" s="130"/>
      <c r="AIM10" s="130"/>
      <c r="AIN10" s="130"/>
      <c r="AIO10" s="130"/>
      <c r="AIP10" s="130"/>
      <c r="AIQ10" s="130"/>
      <c r="AIR10" s="130"/>
      <c r="AIS10" s="130"/>
      <c r="AIT10" s="130"/>
      <c r="AIU10" s="130"/>
      <c r="AIV10" s="130"/>
      <c r="AIW10" s="130"/>
      <c r="AIX10" s="130"/>
      <c r="AIY10" s="130"/>
      <c r="AIZ10" s="130"/>
      <c r="AJA10" s="130"/>
      <c r="AJB10" s="130"/>
      <c r="AJC10" s="130"/>
      <c r="AJD10" s="130"/>
      <c r="AJE10" s="130"/>
      <c r="AJF10" s="130"/>
      <c r="AJG10" s="130"/>
      <c r="AJH10" s="130"/>
      <c r="AJI10" s="130"/>
      <c r="AJJ10" s="130"/>
      <c r="AJK10" s="130"/>
      <c r="AJL10" s="130"/>
      <c r="AJM10" s="130"/>
      <c r="AJN10" s="130"/>
      <c r="AJO10" s="130"/>
      <c r="AJP10" s="130"/>
      <c r="AJQ10" s="130"/>
      <c r="AJR10" s="130"/>
      <c r="AJS10" s="130"/>
      <c r="AJT10" s="130"/>
      <c r="AJU10" s="130"/>
      <c r="AJV10" s="130"/>
      <c r="AJW10" s="130"/>
      <c r="AJX10" s="130"/>
      <c r="AJY10" s="130"/>
      <c r="AJZ10" s="130"/>
      <c r="AKA10" s="130"/>
      <c r="AKB10" s="130"/>
      <c r="AKC10" s="130"/>
      <c r="AKD10" s="130"/>
      <c r="AKE10" s="130"/>
      <c r="AKF10" s="130"/>
      <c r="AKG10" s="130"/>
      <c r="AKH10" s="130"/>
      <c r="AKI10" s="130"/>
      <c r="AKJ10" s="130"/>
      <c r="AKK10" s="130"/>
      <c r="AKL10" s="130"/>
      <c r="AKM10" s="130"/>
      <c r="AKN10" s="130"/>
      <c r="AKO10" s="130"/>
      <c r="AKP10" s="130"/>
      <c r="AKQ10" s="130"/>
      <c r="AKR10" s="130"/>
      <c r="AKS10" s="130"/>
      <c r="AKT10" s="130"/>
      <c r="AKU10" s="130"/>
      <c r="AKV10" s="130"/>
      <c r="AKW10" s="130"/>
      <c r="AKX10" s="130"/>
      <c r="AKY10" s="130"/>
      <c r="AKZ10" s="130"/>
      <c r="ALA10" s="130"/>
      <c r="ALB10" s="130"/>
      <c r="ALC10" s="130"/>
      <c r="ALD10" s="130"/>
      <c r="ALE10" s="130"/>
      <c r="ALF10" s="130"/>
      <c r="ALG10" s="130"/>
      <c r="ALH10" s="130"/>
      <c r="ALI10" s="130"/>
      <c r="ALJ10" s="130"/>
      <c r="ALK10" s="130"/>
      <c r="ALL10" s="130"/>
      <c r="ALM10" s="130"/>
      <c r="ALN10" s="130"/>
      <c r="ALO10" s="130"/>
      <c r="ALP10" s="130"/>
      <c r="ALQ10" s="130"/>
      <c r="ALR10" s="130"/>
      <c r="ALS10" s="130"/>
      <c r="ALT10" s="130"/>
      <c r="ALU10" s="130"/>
      <c r="ALV10" s="130"/>
      <c r="ALW10" s="130"/>
      <c r="ALX10" s="130"/>
      <c r="ALY10" s="130"/>
      <c r="ALZ10" s="130"/>
      <c r="AMA10" s="130"/>
      <c r="AMB10" s="130"/>
      <c r="AMC10" s="130"/>
      <c r="AMD10" s="130"/>
      <c r="AME10" s="130"/>
      <c r="AMF10" s="130"/>
      <c r="AMG10" s="130"/>
      <c r="AMH10" s="130"/>
      <c r="AMI10" s="130"/>
      <c r="AMJ10" s="130"/>
      <c r="AMK10" s="130"/>
      <c r="AML10" s="130"/>
      <c r="AMM10" s="130"/>
      <c r="AMN10" s="130"/>
      <c r="AMO10" s="130"/>
      <c r="AMP10" s="130"/>
      <c r="AMQ10" s="130"/>
      <c r="AMR10" s="130"/>
      <c r="AMS10" s="130"/>
      <c r="AMT10" s="130"/>
      <c r="AMU10" s="130"/>
      <c r="AMV10" s="130"/>
      <c r="AMW10" s="130"/>
      <c r="AMX10" s="130"/>
      <c r="AMY10" s="130"/>
      <c r="AMZ10" s="130"/>
      <c r="ANA10" s="130"/>
      <c r="ANB10" s="130"/>
      <c r="ANC10" s="130"/>
      <c r="AND10" s="130"/>
      <c r="ANE10" s="130"/>
      <c r="ANF10" s="130"/>
      <c r="ANG10" s="130"/>
      <c r="ANH10" s="130"/>
      <c r="ANI10" s="130"/>
      <c r="ANJ10" s="130"/>
      <c r="ANK10" s="130"/>
      <c r="ANL10" s="130"/>
      <c r="ANM10" s="130"/>
      <c r="ANN10" s="130"/>
      <c r="ANO10" s="130"/>
      <c r="ANP10" s="130"/>
      <c r="ANQ10" s="130"/>
      <c r="ANR10" s="130"/>
      <c r="ANS10" s="130"/>
      <c r="ANT10" s="130"/>
      <c r="ANU10" s="130"/>
      <c r="ANV10" s="130"/>
      <c r="ANW10" s="130"/>
      <c r="ANX10" s="130"/>
      <c r="ANY10" s="130"/>
      <c r="ANZ10" s="130"/>
      <c r="AOA10" s="130"/>
      <c r="AOB10" s="130"/>
      <c r="AOC10" s="130"/>
      <c r="AOD10" s="130"/>
      <c r="AOE10" s="130"/>
      <c r="AOF10" s="130"/>
      <c r="AOG10" s="130"/>
      <c r="AOH10" s="130"/>
      <c r="AOI10" s="130"/>
      <c r="AOJ10" s="130"/>
      <c r="AOK10" s="130"/>
      <c r="AOL10" s="130"/>
      <c r="AOM10" s="130"/>
      <c r="AON10" s="130"/>
      <c r="AOO10" s="130"/>
      <c r="AOP10" s="130"/>
      <c r="AOQ10" s="130"/>
      <c r="AOR10" s="130"/>
      <c r="AOS10" s="130"/>
      <c r="AOT10" s="130"/>
      <c r="AOU10" s="130"/>
      <c r="AOV10" s="130"/>
      <c r="AOW10" s="130"/>
      <c r="AOX10" s="130"/>
      <c r="AOY10" s="130"/>
      <c r="AOZ10" s="130"/>
      <c r="APA10" s="130"/>
      <c r="APB10" s="130"/>
      <c r="APC10" s="130"/>
      <c r="APD10" s="130"/>
      <c r="APE10" s="130"/>
      <c r="APF10" s="130"/>
      <c r="APG10" s="130"/>
      <c r="APH10" s="130"/>
      <c r="API10" s="130"/>
      <c r="APJ10" s="130"/>
      <c r="APK10" s="130"/>
      <c r="APL10" s="130"/>
      <c r="APM10" s="130"/>
      <c r="APN10" s="130"/>
      <c r="APO10" s="130"/>
      <c r="APP10" s="130"/>
      <c r="APQ10" s="130"/>
      <c r="APR10" s="130"/>
      <c r="APS10" s="130"/>
      <c r="APT10" s="130"/>
      <c r="APU10" s="130"/>
      <c r="APV10" s="130"/>
      <c r="APW10" s="130"/>
      <c r="APX10" s="130"/>
      <c r="APY10" s="130"/>
      <c r="APZ10" s="130"/>
      <c r="AQA10" s="130"/>
      <c r="AQB10" s="130"/>
      <c r="AQC10" s="130"/>
      <c r="AQD10" s="130"/>
      <c r="AQE10" s="130"/>
      <c r="AQF10" s="130"/>
      <c r="AQG10" s="130"/>
      <c r="AQH10" s="130"/>
      <c r="AQI10" s="130"/>
      <c r="AQJ10" s="130"/>
      <c r="AQK10" s="130"/>
      <c r="AQL10" s="130"/>
      <c r="AQM10" s="130"/>
      <c r="AQN10" s="130"/>
      <c r="AQO10" s="130"/>
      <c r="AQP10" s="130"/>
      <c r="AQQ10" s="130"/>
      <c r="AQR10" s="130"/>
      <c r="AQS10" s="130"/>
      <c r="AQT10" s="130"/>
      <c r="AQU10" s="130"/>
      <c r="AQV10" s="130"/>
      <c r="AQW10" s="130"/>
      <c r="AQX10" s="130"/>
      <c r="AQY10" s="130"/>
      <c r="AQZ10" s="130"/>
      <c r="ARA10" s="130"/>
      <c r="ARB10" s="130"/>
      <c r="ARC10" s="130"/>
      <c r="ARD10" s="130"/>
      <c r="ARE10" s="130"/>
      <c r="ARF10" s="130"/>
      <c r="ARG10" s="130"/>
      <c r="ARH10" s="130"/>
      <c r="ARI10" s="130"/>
      <c r="ARJ10" s="130"/>
      <c r="ARK10" s="130"/>
      <c r="ARL10" s="130"/>
      <c r="ARM10" s="130"/>
      <c r="ARN10" s="130"/>
      <c r="ARO10" s="130"/>
      <c r="ARP10" s="130"/>
      <c r="ARQ10" s="130"/>
      <c r="ARR10" s="130"/>
      <c r="ARS10" s="130"/>
      <c r="ART10" s="130"/>
      <c r="ARU10" s="130"/>
      <c r="ARV10" s="130"/>
      <c r="ARW10" s="130"/>
      <c r="ARX10" s="130"/>
      <c r="ARY10" s="130"/>
      <c r="ARZ10" s="130"/>
      <c r="ASA10" s="130"/>
      <c r="ASB10" s="130"/>
      <c r="ASC10" s="130"/>
      <c r="ASD10" s="130"/>
      <c r="ASE10" s="130"/>
      <c r="ASF10" s="130"/>
      <c r="ASG10" s="130"/>
      <c r="ASH10" s="130"/>
      <c r="ASI10" s="130"/>
      <c r="ASJ10" s="130"/>
      <c r="ASK10" s="130"/>
      <c r="ASL10" s="130"/>
      <c r="ASM10" s="130"/>
      <c r="ASN10" s="130"/>
      <c r="ASO10" s="130"/>
      <c r="ASP10" s="130"/>
      <c r="ASQ10" s="130"/>
      <c r="ASR10" s="130"/>
      <c r="ASS10" s="130"/>
      <c r="AST10" s="130"/>
      <c r="ASU10" s="130"/>
      <c r="ASV10" s="130"/>
      <c r="ASW10" s="130"/>
      <c r="ASX10" s="130"/>
      <c r="ASY10" s="130"/>
      <c r="ASZ10" s="130"/>
      <c r="ATA10" s="130"/>
      <c r="ATB10" s="130"/>
      <c r="ATC10" s="130"/>
      <c r="ATD10" s="130"/>
      <c r="ATE10" s="130"/>
      <c r="ATF10" s="130"/>
      <c r="ATG10" s="130"/>
      <c r="ATH10" s="130"/>
      <c r="ATI10" s="130"/>
      <c r="ATJ10" s="130"/>
      <c r="ATK10" s="130"/>
      <c r="ATL10" s="130"/>
      <c r="ATM10" s="130"/>
      <c r="ATN10" s="130"/>
      <c r="ATO10" s="130"/>
      <c r="ATP10" s="130"/>
      <c r="ATQ10" s="130"/>
      <c r="ATR10" s="130"/>
      <c r="ATS10" s="130"/>
      <c r="ATT10" s="130"/>
      <c r="ATU10" s="130"/>
      <c r="ATV10" s="130"/>
      <c r="ATW10" s="130"/>
      <c r="ATX10" s="130"/>
      <c r="ATY10" s="130"/>
      <c r="ATZ10" s="130"/>
      <c r="AUA10" s="130"/>
      <c r="AUB10" s="130"/>
      <c r="AUC10" s="130"/>
      <c r="AUD10" s="130"/>
      <c r="AUE10" s="130"/>
      <c r="AUF10" s="130"/>
      <c r="AUG10" s="130"/>
      <c r="AUH10" s="130"/>
      <c r="AUI10" s="130"/>
      <c r="AUJ10" s="130"/>
      <c r="AUK10" s="130"/>
      <c r="AUL10" s="130"/>
      <c r="AUM10" s="130"/>
      <c r="AUN10" s="130"/>
      <c r="AUO10" s="130"/>
      <c r="AUP10" s="130"/>
      <c r="AUQ10" s="130"/>
      <c r="AUR10" s="130"/>
      <c r="AUS10" s="130"/>
      <c r="AUT10" s="130"/>
      <c r="AUU10" s="130"/>
      <c r="AUV10" s="130"/>
      <c r="AUW10" s="130"/>
      <c r="AUX10" s="130"/>
      <c r="AUY10" s="130"/>
      <c r="AUZ10" s="130"/>
      <c r="AVA10" s="130"/>
      <c r="AVB10" s="130"/>
      <c r="AVC10" s="130"/>
      <c r="AVD10" s="130"/>
      <c r="AVE10" s="130"/>
      <c r="AVF10" s="130"/>
      <c r="AVG10" s="130"/>
      <c r="AVH10" s="130"/>
      <c r="AVI10" s="130"/>
      <c r="AVJ10" s="130"/>
      <c r="AVK10" s="130"/>
      <c r="AVL10" s="130"/>
      <c r="AVM10" s="130"/>
      <c r="AVN10" s="130"/>
      <c r="AVO10" s="130"/>
      <c r="AVP10" s="130"/>
      <c r="AVQ10" s="130"/>
      <c r="AVR10" s="130"/>
      <c r="AVS10" s="130"/>
      <c r="AVT10" s="130"/>
      <c r="AVU10" s="130"/>
      <c r="AVV10" s="130"/>
      <c r="AVW10" s="130"/>
      <c r="AVX10" s="130"/>
      <c r="AVY10" s="130"/>
      <c r="AVZ10" s="130"/>
      <c r="AWA10" s="130"/>
      <c r="AWB10" s="130"/>
      <c r="AWC10" s="130"/>
      <c r="AWD10" s="130"/>
      <c r="AWE10" s="130"/>
      <c r="AWF10" s="130"/>
      <c r="AWG10" s="130"/>
      <c r="AWH10" s="130"/>
      <c r="AWI10" s="130"/>
      <c r="AWJ10" s="130"/>
      <c r="AWK10" s="130"/>
      <c r="AWL10" s="130"/>
      <c r="AWM10" s="130"/>
      <c r="AWN10" s="130"/>
      <c r="AWO10" s="130"/>
      <c r="AWP10" s="130"/>
      <c r="AWQ10" s="130"/>
      <c r="AWR10" s="130"/>
      <c r="AWS10" s="130"/>
      <c r="AWT10" s="130"/>
      <c r="AWU10" s="130"/>
      <c r="AWV10" s="130"/>
      <c r="AWW10" s="130"/>
      <c r="AWX10" s="130"/>
      <c r="AWY10" s="130"/>
      <c r="AWZ10" s="130"/>
      <c r="AXA10" s="130"/>
      <c r="AXB10" s="130"/>
      <c r="AXC10" s="130"/>
      <c r="AXD10" s="130"/>
      <c r="AXE10" s="130"/>
      <c r="AXF10" s="130"/>
      <c r="AXG10" s="130"/>
      <c r="AXH10" s="130"/>
      <c r="AXI10" s="130"/>
      <c r="AXJ10" s="130"/>
      <c r="AXK10" s="130"/>
      <c r="AXL10" s="130"/>
      <c r="AXM10" s="130"/>
      <c r="AXN10" s="130"/>
      <c r="AXO10" s="130"/>
      <c r="AXP10" s="130"/>
      <c r="AXQ10" s="130"/>
      <c r="AXR10" s="130"/>
      <c r="AXS10" s="130"/>
      <c r="AXT10" s="130"/>
      <c r="AXU10" s="130"/>
      <c r="AXV10" s="130"/>
      <c r="AXW10" s="130"/>
      <c r="AXX10" s="130"/>
      <c r="AXY10" s="130"/>
      <c r="AXZ10" s="130"/>
      <c r="AYA10" s="130"/>
      <c r="AYB10" s="130"/>
      <c r="AYC10" s="130"/>
      <c r="AYD10" s="130"/>
      <c r="AYE10" s="130"/>
      <c r="AYF10" s="130"/>
      <c r="AYG10" s="130"/>
      <c r="AYH10" s="130"/>
      <c r="AYI10" s="130"/>
      <c r="AYJ10" s="130"/>
      <c r="AYK10" s="130"/>
      <c r="AYL10" s="130"/>
      <c r="AYM10" s="130"/>
      <c r="AYN10" s="130"/>
      <c r="AYO10" s="130"/>
      <c r="AYP10" s="130"/>
      <c r="AYQ10" s="130"/>
      <c r="AYR10" s="130"/>
      <c r="AYS10" s="130"/>
      <c r="AYT10" s="130"/>
      <c r="AYU10" s="130"/>
      <c r="AYV10" s="130"/>
      <c r="AYW10" s="130"/>
      <c r="AYX10" s="130"/>
      <c r="AYY10" s="130"/>
      <c r="AYZ10" s="130"/>
      <c r="AZA10" s="130"/>
      <c r="AZB10" s="130"/>
      <c r="AZC10" s="130"/>
      <c r="AZD10" s="130"/>
      <c r="AZE10" s="130"/>
      <c r="AZF10" s="130"/>
      <c r="AZG10" s="130"/>
      <c r="AZH10" s="130"/>
      <c r="AZI10" s="130"/>
      <c r="AZJ10" s="130"/>
      <c r="AZK10" s="130"/>
      <c r="AZL10" s="130"/>
      <c r="AZM10" s="130"/>
      <c r="AZN10" s="130"/>
      <c r="AZO10" s="130"/>
      <c r="AZP10" s="130"/>
      <c r="AZQ10" s="130"/>
      <c r="AZR10" s="130"/>
      <c r="AZS10" s="130"/>
      <c r="AZT10" s="130"/>
      <c r="AZU10" s="130"/>
      <c r="AZV10" s="130"/>
      <c r="AZW10" s="130"/>
      <c r="AZX10" s="130"/>
      <c r="AZY10" s="130"/>
      <c r="AZZ10" s="130"/>
      <c r="BAA10" s="130"/>
      <c r="BAB10" s="130"/>
      <c r="BAC10" s="130"/>
      <c r="BAD10" s="130"/>
      <c r="BAE10" s="130"/>
      <c r="BAF10" s="130"/>
      <c r="BAG10" s="130"/>
      <c r="BAH10" s="130"/>
      <c r="BAI10" s="130"/>
      <c r="BAJ10" s="130"/>
      <c r="BAK10" s="130"/>
      <c r="BAL10" s="130"/>
      <c r="BAM10" s="130"/>
      <c r="BAN10" s="130"/>
      <c r="BAO10" s="130"/>
      <c r="BAP10" s="130"/>
      <c r="BAQ10" s="130"/>
      <c r="BAR10" s="130"/>
      <c r="BAS10" s="130"/>
      <c r="BAT10" s="130"/>
    </row>
    <row r="11" spans="1:1398" ht="20.149999999999999" customHeight="1" x14ac:dyDescent="0.35">
      <c r="A11" s="134">
        <v>2</v>
      </c>
      <c r="B11" s="13" t="s">
        <v>199</v>
      </c>
      <c r="C11" s="19">
        <v>41949</v>
      </c>
      <c r="D11" s="40" t="s">
        <v>198</v>
      </c>
      <c r="E11" s="40">
        <v>31.5</v>
      </c>
      <c r="F11" s="40">
        <v>133</v>
      </c>
      <c r="G11" s="74">
        <f>E11/(F11/100)^2</f>
        <v>17.807677087455481</v>
      </c>
      <c r="H11" s="153" t="s">
        <v>120</v>
      </c>
      <c r="I11" s="133" t="s">
        <v>65</v>
      </c>
      <c r="J11" s="154" t="s">
        <v>20</v>
      </c>
      <c r="K11" s="133" t="s">
        <v>17</v>
      </c>
    </row>
    <row r="12" spans="1:1398" ht="20.149999999999999" customHeight="1" thickBot="1" x14ac:dyDescent="0.4">
      <c r="A12" s="51">
        <v>3</v>
      </c>
      <c r="B12" s="147" t="s">
        <v>200</v>
      </c>
      <c r="C12" s="91">
        <v>43284</v>
      </c>
      <c r="D12" s="57" t="s">
        <v>201</v>
      </c>
      <c r="E12" s="57">
        <v>29.05</v>
      </c>
      <c r="F12" s="57">
        <v>120.9</v>
      </c>
      <c r="G12" s="79">
        <f>E12/(F12/100)^2</f>
        <v>19.874377514656068</v>
      </c>
      <c r="H12" s="82" t="s">
        <v>65</v>
      </c>
      <c r="I12" s="137" t="s">
        <v>112</v>
      </c>
      <c r="J12" s="82" t="s">
        <v>65</v>
      </c>
      <c r="K12" s="137" t="s">
        <v>112</v>
      </c>
    </row>
    <row r="13" spans="1:1398" ht="20.149999999999999" customHeight="1" thickBot="1" x14ac:dyDescent="0.4">
      <c r="A13" s="298" t="s">
        <v>202</v>
      </c>
      <c r="B13" s="299"/>
      <c r="C13" s="299"/>
      <c r="D13" s="299"/>
      <c r="E13" s="299"/>
      <c r="F13" s="299"/>
      <c r="G13" s="299"/>
      <c r="H13" s="299"/>
      <c r="I13" s="299"/>
      <c r="J13" s="299"/>
      <c r="K13" s="300"/>
    </row>
    <row r="14" spans="1:1398" ht="20.149999999999999" customHeight="1" x14ac:dyDescent="0.35">
      <c r="A14" s="145">
        <v>1</v>
      </c>
      <c r="B14" s="69" t="s">
        <v>203</v>
      </c>
      <c r="C14" s="80" t="s">
        <v>204</v>
      </c>
      <c r="D14" s="146" t="s">
        <v>205</v>
      </c>
      <c r="E14" s="146">
        <v>46.4</v>
      </c>
      <c r="F14" s="146">
        <v>155.30000000000001</v>
      </c>
      <c r="G14" s="73">
        <f>E14/(F14/100)^2</f>
        <v>19.238671055626707</v>
      </c>
      <c r="H14" s="84" t="s">
        <v>65</v>
      </c>
      <c r="I14" s="151" t="s">
        <v>65</v>
      </c>
      <c r="J14" s="145" t="s">
        <v>17</v>
      </c>
      <c r="K14" s="151" t="s">
        <v>65</v>
      </c>
    </row>
    <row r="15" spans="1:1398" ht="20.149999999999999" customHeight="1" x14ac:dyDescent="0.35">
      <c r="A15" s="134">
        <v>2</v>
      </c>
      <c r="B15" s="13" t="s">
        <v>206</v>
      </c>
      <c r="C15" s="19" t="s">
        <v>204</v>
      </c>
      <c r="D15" s="40" t="s">
        <v>205</v>
      </c>
      <c r="E15" s="40">
        <v>39.950000000000003</v>
      </c>
      <c r="F15" s="40">
        <v>147.30000000000001</v>
      </c>
      <c r="G15" s="74">
        <f>E15/(F15/100)^2</f>
        <v>18.412437682309633</v>
      </c>
      <c r="H15" s="48" t="s">
        <v>65</v>
      </c>
      <c r="I15" s="133" t="s">
        <v>65</v>
      </c>
      <c r="J15" s="134" t="s">
        <v>17</v>
      </c>
      <c r="K15" s="133" t="s">
        <v>65</v>
      </c>
    </row>
    <row r="16" spans="1:1398" s="132" customFormat="1" ht="20.149999999999999" customHeight="1" x14ac:dyDescent="0.35">
      <c r="A16" s="135">
        <v>3</v>
      </c>
      <c r="B16" s="32" t="s">
        <v>207</v>
      </c>
      <c r="C16" s="33">
        <v>35746</v>
      </c>
      <c r="D16" s="39" t="s">
        <v>208</v>
      </c>
      <c r="E16" s="39">
        <v>90.65</v>
      </c>
      <c r="F16" s="39">
        <v>150</v>
      </c>
      <c r="G16" s="94">
        <f>E16/(F16/100)^2</f>
        <v>40.288888888888891</v>
      </c>
      <c r="H16" s="48" t="s">
        <v>65</v>
      </c>
      <c r="I16" s="136" t="s">
        <v>109</v>
      </c>
      <c r="J16" s="134" t="s">
        <v>17</v>
      </c>
      <c r="K16" s="136" t="s">
        <v>109</v>
      </c>
    </row>
    <row r="17" spans="1:11" ht="20.149999999999999" customHeight="1" x14ac:dyDescent="0.35">
      <c r="A17" s="134">
        <v>4</v>
      </c>
      <c r="B17" s="13" t="s">
        <v>209</v>
      </c>
      <c r="C17" s="129" t="s">
        <v>210</v>
      </c>
      <c r="D17" s="40" t="s">
        <v>211</v>
      </c>
      <c r="E17" s="40">
        <v>75.3</v>
      </c>
      <c r="F17" s="40">
        <v>150.5</v>
      </c>
      <c r="G17" s="74">
        <f>E17/(F17/100)^2</f>
        <v>33.244666173662544</v>
      </c>
      <c r="H17" s="154" t="s">
        <v>20</v>
      </c>
      <c r="I17" s="113" t="s">
        <v>104</v>
      </c>
      <c r="J17" s="134" t="s">
        <v>17</v>
      </c>
      <c r="K17" s="133" t="s">
        <v>164</v>
      </c>
    </row>
    <row r="18" spans="1:11" ht="20.149999999999999" customHeight="1" thickBot="1" x14ac:dyDescent="0.4">
      <c r="A18" s="51">
        <v>5</v>
      </c>
      <c r="B18" s="52" t="s">
        <v>212</v>
      </c>
      <c r="C18" s="53">
        <v>40878</v>
      </c>
      <c r="D18" s="57" t="s">
        <v>213</v>
      </c>
      <c r="E18" s="57">
        <v>46.72</v>
      </c>
      <c r="F18" s="57">
        <v>146</v>
      </c>
      <c r="G18" s="79">
        <f>E18/(F18/100)^2</f>
        <v>21.917808219178085</v>
      </c>
      <c r="H18" s="152" t="s">
        <v>20</v>
      </c>
      <c r="I18" s="150" t="s">
        <v>65</v>
      </c>
      <c r="J18" s="152" t="s">
        <v>20</v>
      </c>
      <c r="K18" s="155" t="s">
        <v>17</v>
      </c>
    </row>
    <row r="19" spans="1:11" ht="20.149999999999999" customHeight="1" thickBot="1" x14ac:dyDescent="0.4">
      <c r="A19" s="298" t="s">
        <v>214</v>
      </c>
      <c r="B19" s="299"/>
      <c r="C19" s="299"/>
      <c r="D19" s="299"/>
      <c r="E19" s="299"/>
      <c r="F19" s="299"/>
      <c r="G19" s="299"/>
      <c r="H19" s="299"/>
      <c r="I19" s="299"/>
      <c r="J19" s="299"/>
      <c r="K19" s="300"/>
    </row>
    <row r="20" spans="1:11" ht="20.149999999999999" customHeight="1" x14ac:dyDescent="0.35">
      <c r="A20" s="145">
        <v>1</v>
      </c>
      <c r="B20" s="69" t="s">
        <v>215</v>
      </c>
      <c r="C20" s="80">
        <v>39698</v>
      </c>
      <c r="D20" s="146" t="s">
        <v>216</v>
      </c>
      <c r="E20" s="146">
        <v>53.6</v>
      </c>
      <c r="F20" s="146">
        <v>151</v>
      </c>
      <c r="G20" s="73">
        <f>E20/(F20/100)^2</f>
        <v>23.507740888557521</v>
      </c>
      <c r="H20" s="148" t="s">
        <v>20</v>
      </c>
      <c r="I20" s="151" t="s">
        <v>65</v>
      </c>
      <c r="J20" s="148" t="s">
        <v>20</v>
      </c>
      <c r="K20" s="151" t="s">
        <v>17</v>
      </c>
    </row>
    <row r="21" spans="1:11" ht="20.149999999999999" customHeight="1" x14ac:dyDescent="0.35">
      <c r="A21" s="134">
        <v>2</v>
      </c>
      <c r="B21" s="13" t="s">
        <v>217</v>
      </c>
      <c r="C21" s="19">
        <v>40374</v>
      </c>
      <c r="D21" s="40" t="s">
        <v>218</v>
      </c>
      <c r="E21" s="40">
        <v>50.75</v>
      </c>
      <c r="F21" s="40">
        <v>147.30000000000001</v>
      </c>
      <c r="G21" s="74">
        <f>E21/(F21/100)^2</f>
        <v>23.390017831719994</v>
      </c>
      <c r="H21" s="153" t="s">
        <v>120</v>
      </c>
      <c r="I21" s="133" t="s">
        <v>65</v>
      </c>
      <c r="J21" s="154" t="s">
        <v>20</v>
      </c>
      <c r="K21" s="133" t="s">
        <v>17</v>
      </c>
    </row>
    <row r="22" spans="1:11" ht="20.149999999999999" customHeight="1" x14ac:dyDescent="0.35">
      <c r="A22" s="134">
        <v>3</v>
      </c>
      <c r="B22" s="13" t="s">
        <v>219</v>
      </c>
      <c r="C22" s="19">
        <v>40092</v>
      </c>
      <c r="D22" s="40" t="s">
        <v>220</v>
      </c>
      <c r="E22" s="40">
        <v>52.45</v>
      </c>
      <c r="F22" s="40">
        <v>144.69999999999999</v>
      </c>
      <c r="G22" s="74">
        <f>E22/(F22/100)^2</f>
        <v>25.050040380951661</v>
      </c>
      <c r="H22" s="153" t="s">
        <v>120</v>
      </c>
      <c r="I22" s="108" t="s">
        <v>112</v>
      </c>
      <c r="J22" s="153" t="s">
        <v>120</v>
      </c>
      <c r="K22" s="133" t="s">
        <v>17</v>
      </c>
    </row>
    <row r="23" spans="1:11" ht="20.149999999999999" customHeight="1" x14ac:dyDescent="0.35">
      <c r="A23" s="134">
        <v>4</v>
      </c>
      <c r="B23" s="13" t="s">
        <v>221</v>
      </c>
      <c r="C23" s="19">
        <v>39880</v>
      </c>
      <c r="D23" s="40" t="s">
        <v>222</v>
      </c>
      <c r="E23" s="40">
        <v>46.15</v>
      </c>
      <c r="F23" s="40">
        <v>156.19999999999999</v>
      </c>
      <c r="G23" s="74">
        <f>E23/(F23/100)^2</f>
        <v>18.915143755092544</v>
      </c>
      <c r="H23" s="154" t="s">
        <v>20</v>
      </c>
      <c r="I23" s="50" t="s">
        <v>65</v>
      </c>
      <c r="J23" s="134" t="s">
        <v>17</v>
      </c>
      <c r="K23" s="133" t="s">
        <v>17</v>
      </c>
    </row>
    <row r="24" spans="1:11" ht="20.149999999999999" customHeight="1" thickBot="1" x14ac:dyDescent="0.4">
      <c r="A24" s="51">
        <v>5</v>
      </c>
      <c r="B24" s="52" t="s">
        <v>223</v>
      </c>
      <c r="C24" s="53">
        <v>39476</v>
      </c>
      <c r="D24" s="57" t="s">
        <v>224</v>
      </c>
      <c r="E24" s="57">
        <v>59.8</v>
      </c>
      <c r="F24" s="57">
        <v>155</v>
      </c>
      <c r="G24" s="79">
        <f>E24/(F24/100)^2</f>
        <v>24.890738813735688</v>
      </c>
      <c r="H24" s="152" t="s">
        <v>20</v>
      </c>
      <c r="I24" s="137" t="s">
        <v>112</v>
      </c>
      <c r="J24" s="51" t="s">
        <v>106</v>
      </c>
      <c r="K24" s="137" t="s">
        <v>112</v>
      </c>
    </row>
  </sheetData>
  <mergeCells count="8">
    <mergeCell ref="A1:K1"/>
    <mergeCell ref="A9:K9"/>
    <mergeCell ref="A2:F2"/>
    <mergeCell ref="A4:K4"/>
    <mergeCell ref="H2:I2"/>
    <mergeCell ref="J2:K2"/>
    <mergeCell ref="A19:K19"/>
    <mergeCell ref="A13:K13"/>
  </mergeCells>
  <pageMargins left="0" right="0" top="0" bottom="0" header="0.31496062992125978" footer="0.31496062992125978"/>
  <pageSetup paperSize="9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1"/>
  <sheetViews>
    <sheetView zoomScale="110" zoomScaleNormal="110" workbookViewId="0">
      <selection activeCell="P28" sqref="P28"/>
    </sheetView>
  </sheetViews>
  <sheetFormatPr baseColWidth="10" defaultColWidth="11.453125" defaultRowHeight="9.5" x14ac:dyDescent="0.35"/>
  <cols>
    <col min="1" max="1" width="2.81640625" style="162" customWidth="1"/>
    <col min="2" max="2" width="30.7265625" style="162" customWidth="1"/>
    <col min="3" max="3" width="11.453125" style="162" customWidth="1"/>
    <col min="4" max="16384" width="11.453125" style="162"/>
  </cols>
  <sheetData>
    <row r="1" spans="1:11" s="161" customFormat="1" ht="20.25" customHeight="1" thickBot="1" x14ac:dyDescent="0.4">
      <c r="A1" s="316" t="s">
        <v>225</v>
      </c>
      <c r="B1" s="293"/>
      <c r="C1" s="293"/>
      <c r="D1" s="293"/>
      <c r="E1" s="293"/>
      <c r="F1" s="293"/>
      <c r="G1" s="293"/>
      <c r="H1" s="293"/>
      <c r="I1" s="293"/>
      <c r="J1" s="293"/>
      <c r="K1" s="294"/>
    </row>
    <row r="2" spans="1:11" s="161" customFormat="1" ht="15" customHeight="1" thickBot="1" x14ac:dyDescent="0.4">
      <c r="A2" s="308" t="s">
        <v>1</v>
      </c>
      <c r="B2" s="309"/>
      <c r="C2" s="309"/>
      <c r="D2" s="309"/>
      <c r="E2" s="309"/>
      <c r="F2" s="309"/>
      <c r="G2" s="211"/>
      <c r="H2" s="312" t="s">
        <v>185</v>
      </c>
      <c r="I2" s="313"/>
      <c r="J2" s="314" t="s">
        <v>186</v>
      </c>
      <c r="K2" s="315"/>
    </row>
    <row r="3" spans="1:11" s="161" customFormat="1" ht="18.75" customHeight="1" thickBot="1" x14ac:dyDescent="0.4">
      <c r="A3" s="164" t="s">
        <v>4</v>
      </c>
      <c r="B3" s="165" t="s">
        <v>5</v>
      </c>
      <c r="C3" s="165" t="s">
        <v>6</v>
      </c>
      <c r="D3" s="165" t="s">
        <v>7</v>
      </c>
      <c r="E3" s="165" t="s">
        <v>8</v>
      </c>
      <c r="F3" s="165" t="s">
        <v>9</v>
      </c>
      <c r="G3" s="165" t="s">
        <v>10</v>
      </c>
      <c r="H3" s="165" t="s">
        <v>11</v>
      </c>
      <c r="I3" s="165" t="s">
        <v>12</v>
      </c>
      <c r="J3" s="165" t="s">
        <v>11</v>
      </c>
      <c r="K3" s="166" t="s">
        <v>12</v>
      </c>
    </row>
    <row r="4" spans="1:11" ht="9.75" customHeight="1" thickBot="1" x14ac:dyDescent="0.4">
      <c r="A4" s="310" t="s">
        <v>226</v>
      </c>
      <c r="B4" s="311"/>
      <c r="C4" s="311"/>
      <c r="D4" s="311"/>
      <c r="E4" s="311"/>
      <c r="F4" s="311"/>
      <c r="G4" s="311"/>
      <c r="H4" s="311"/>
      <c r="I4" s="311"/>
      <c r="J4" s="311"/>
      <c r="K4" s="288"/>
    </row>
    <row r="5" spans="1:11" ht="19" customHeight="1" x14ac:dyDescent="0.35">
      <c r="A5" s="179">
        <v>1</v>
      </c>
      <c r="B5" s="180" t="s">
        <v>227</v>
      </c>
      <c r="C5" s="181">
        <v>43400</v>
      </c>
      <c r="D5" s="182" t="s">
        <v>39</v>
      </c>
      <c r="E5" s="182">
        <v>23.2</v>
      </c>
      <c r="F5" s="182">
        <v>120</v>
      </c>
      <c r="G5" s="183">
        <f>E5/(F5/100)^2</f>
        <v>16.111111111111111</v>
      </c>
      <c r="H5" s="179" t="s">
        <v>17</v>
      </c>
      <c r="I5" s="205" t="s">
        <v>65</v>
      </c>
      <c r="J5" s="217" t="s">
        <v>65</v>
      </c>
      <c r="K5" s="207" t="s">
        <v>65</v>
      </c>
    </row>
    <row r="6" spans="1:11" s="163" customFormat="1" ht="19" customHeight="1" x14ac:dyDescent="0.35">
      <c r="A6" s="167">
        <v>2</v>
      </c>
      <c r="B6" s="9" t="s">
        <v>228</v>
      </c>
      <c r="C6" s="10">
        <v>43262</v>
      </c>
      <c r="D6" s="4" t="s">
        <v>201</v>
      </c>
      <c r="E6" s="4">
        <v>22.75</v>
      </c>
      <c r="F6" s="4">
        <v>115.3</v>
      </c>
      <c r="G6" s="184">
        <f>E6/(F6/100)^2</f>
        <v>17.112867447113718</v>
      </c>
      <c r="H6" s="220" t="s">
        <v>20</v>
      </c>
      <c r="I6" s="168" t="s">
        <v>65</v>
      </c>
      <c r="J6" s="218" t="s">
        <v>20</v>
      </c>
      <c r="K6" s="215" t="s">
        <v>105</v>
      </c>
    </row>
    <row r="7" spans="1:11" ht="19" customHeight="1" thickBot="1" x14ac:dyDescent="0.4">
      <c r="A7" s="185">
        <v>3</v>
      </c>
      <c r="B7" s="186" t="s">
        <v>229</v>
      </c>
      <c r="C7" s="187">
        <v>43223</v>
      </c>
      <c r="D7" s="188" t="s">
        <v>230</v>
      </c>
      <c r="E7" s="188">
        <v>20.25</v>
      </c>
      <c r="F7" s="188">
        <v>113.4</v>
      </c>
      <c r="G7" s="189">
        <f>E7/(F7/100)^2</f>
        <v>15.747039556563362</v>
      </c>
      <c r="H7" s="213" t="s">
        <v>120</v>
      </c>
      <c r="I7" s="206" t="s">
        <v>65</v>
      </c>
      <c r="J7" s="213" t="s">
        <v>120</v>
      </c>
      <c r="K7" s="208" t="s">
        <v>17</v>
      </c>
    </row>
    <row r="8" spans="1:11" ht="9.75" customHeight="1" thickBot="1" x14ac:dyDescent="0.4">
      <c r="A8" s="317" t="s">
        <v>231</v>
      </c>
      <c r="B8" s="311"/>
      <c r="C8" s="311"/>
      <c r="D8" s="311"/>
      <c r="E8" s="311"/>
      <c r="F8" s="311"/>
      <c r="G8" s="311"/>
      <c r="H8" s="311"/>
      <c r="I8" s="311"/>
      <c r="J8" s="311"/>
      <c r="K8" s="288"/>
    </row>
    <row r="9" spans="1:11" ht="19" customHeight="1" x14ac:dyDescent="0.35">
      <c r="A9" s="191">
        <v>1</v>
      </c>
      <c r="B9" s="180" t="s">
        <v>232</v>
      </c>
      <c r="C9" s="181">
        <v>43336</v>
      </c>
      <c r="D9" s="192" t="s">
        <v>233</v>
      </c>
      <c r="E9" s="192">
        <v>18.5</v>
      </c>
      <c r="F9" s="192">
        <v>113.4</v>
      </c>
      <c r="G9" s="183">
        <f>E9/(F9/100)^2</f>
        <v>14.386184286243072</v>
      </c>
      <c r="H9" s="222" t="s">
        <v>120</v>
      </c>
      <c r="I9" s="209" t="s">
        <v>65</v>
      </c>
      <c r="J9" s="222" t="s">
        <v>120</v>
      </c>
      <c r="K9" s="209" t="s">
        <v>17</v>
      </c>
    </row>
    <row r="10" spans="1:11" ht="19" customHeight="1" x14ac:dyDescent="0.35">
      <c r="A10" s="169">
        <v>2</v>
      </c>
      <c r="B10" s="5" t="s">
        <v>234</v>
      </c>
      <c r="C10" s="6">
        <v>43326</v>
      </c>
      <c r="D10" s="156" t="s">
        <v>233</v>
      </c>
      <c r="E10" s="156">
        <v>24.15</v>
      </c>
      <c r="F10" s="156">
        <v>120.7</v>
      </c>
      <c r="G10" s="193">
        <f>E10/(F10/100)^2</f>
        <v>16.576872414368268</v>
      </c>
      <c r="H10" s="169" t="s">
        <v>17</v>
      </c>
      <c r="I10" s="171" t="s">
        <v>65</v>
      </c>
      <c r="J10" s="169" t="s">
        <v>65</v>
      </c>
      <c r="K10" s="171" t="s">
        <v>17</v>
      </c>
    </row>
    <row r="11" spans="1:11" ht="19" customHeight="1" thickBot="1" x14ac:dyDescent="0.4">
      <c r="A11" s="174">
        <v>3</v>
      </c>
      <c r="B11" s="186" t="s">
        <v>235</v>
      </c>
      <c r="C11" s="187">
        <v>43193</v>
      </c>
      <c r="D11" s="177" t="s">
        <v>230</v>
      </c>
      <c r="E11" s="177">
        <v>33.4</v>
      </c>
      <c r="F11" s="194">
        <v>119.5</v>
      </c>
      <c r="G11" s="189">
        <f>E11/(F11/100)^2</f>
        <v>23.388946271949017</v>
      </c>
      <c r="H11" s="223" t="s">
        <v>20</v>
      </c>
      <c r="I11" s="210" t="s">
        <v>109</v>
      </c>
      <c r="J11" s="174" t="s">
        <v>65</v>
      </c>
      <c r="K11" s="210" t="s">
        <v>236</v>
      </c>
    </row>
    <row r="12" spans="1:11" ht="9.75" customHeight="1" thickBot="1" x14ac:dyDescent="0.4">
      <c r="A12" s="310" t="s">
        <v>237</v>
      </c>
      <c r="B12" s="311"/>
      <c r="C12" s="311"/>
      <c r="D12" s="311"/>
      <c r="E12" s="311"/>
      <c r="F12" s="311"/>
      <c r="G12" s="311"/>
      <c r="H12" s="311"/>
      <c r="I12" s="311"/>
      <c r="J12" s="311"/>
      <c r="K12" s="288"/>
    </row>
    <row r="13" spans="1:11" ht="19" customHeight="1" x14ac:dyDescent="0.35">
      <c r="A13" s="191">
        <v>1</v>
      </c>
      <c r="B13" s="196" t="s">
        <v>238</v>
      </c>
      <c r="C13" s="197">
        <v>41762</v>
      </c>
      <c r="D13" s="192" t="s">
        <v>57</v>
      </c>
      <c r="E13" s="198">
        <v>28.2</v>
      </c>
      <c r="F13" s="198">
        <v>125.6</v>
      </c>
      <c r="G13" s="224">
        <f>E13/(F13/100)^2</f>
        <v>17.875978741531096</v>
      </c>
      <c r="H13" s="228" t="s">
        <v>127</v>
      </c>
      <c r="I13" s="209" t="s">
        <v>65</v>
      </c>
      <c r="J13" s="227" t="s">
        <v>120</v>
      </c>
      <c r="K13" s="209" t="s">
        <v>17</v>
      </c>
    </row>
    <row r="14" spans="1:11" s="163" customFormat="1" ht="19" customHeight="1" x14ac:dyDescent="0.35">
      <c r="A14" s="172">
        <v>2</v>
      </c>
      <c r="B14" s="7" t="s">
        <v>239</v>
      </c>
      <c r="C14" s="8" t="s">
        <v>240</v>
      </c>
      <c r="D14" s="157" t="s">
        <v>241</v>
      </c>
      <c r="E14" s="157">
        <v>37.200000000000003</v>
      </c>
      <c r="F14" s="157">
        <v>131.4</v>
      </c>
      <c r="G14" s="225">
        <f>E14/(F14/100)^2</f>
        <v>21.545283320475662</v>
      </c>
      <c r="H14" s="172" t="s">
        <v>17</v>
      </c>
      <c r="I14" s="215" t="s">
        <v>105</v>
      </c>
      <c r="J14" s="195" t="s">
        <v>65</v>
      </c>
      <c r="K14" s="214" t="s">
        <v>104</v>
      </c>
    </row>
    <row r="15" spans="1:11" ht="19" customHeight="1" thickBot="1" x14ac:dyDescent="0.4">
      <c r="A15" s="174">
        <v>3</v>
      </c>
      <c r="B15" s="175" t="s">
        <v>242</v>
      </c>
      <c r="C15" s="199">
        <v>41671</v>
      </c>
      <c r="D15" s="177" t="s">
        <v>243</v>
      </c>
      <c r="E15" s="200">
        <v>31</v>
      </c>
      <c r="F15" s="177">
        <v>128.19999999999999</v>
      </c>
      <c r="G15" s="226">
        <f>E15/(F15/100)^2</f>
        <v>18.861908922534752</v>
      </c>
      <c r="H15" s="229" t="s">
        <v>127</v>
      </c>
      <c r="I15" s="178" t="s">
        <v>65</v>
      </c>
      <c r="J15" s="221" t="s">
        <v>120</v>
      </c>
      <c r="K15" s="178" t="s">
        <v>17</v>
      </c>
    </row>
    <row r="16" spans="1:11" ht="9.75" customHeight="1" thickBot="1" x14ac:dyDescent="0.4">
      <c r="A16" s="310" t="s">
        <v>244</v>
      </c>
      <c r="B16" s="311"/>
      <c r="C16" s="311"/>
      <c r="D16" s="311"/>
      <c r="E16" s="311"/>
      <c r="F16" s="311"/>
      <c r="G16" s="311"/>
      <c r="H16" s="311"/>
      <c r="I16" s="311"/>
      <c r="J16" s="311"/>
      <c r="K16" s="288"/>
    </row>
    <row r="17" spans="1:11" ht="19" customHeight="1" x14ac:dyDescent="0.35">
      <c r="A17" s="191">
        <v>1</v>
      </c>
      <c r="B17" s="196" t="s">
        <v>245</v>
      </c>
      <c r="C17" s="197">
        <v>41125</v>
      </c>
      <c r="D17" s="192" t="s">
        <v>246</v>
      </c>
      <c r="E17" s="198">
        <v>40.85</v>
      </c>
      <c r="F17" s="192">
        <v>151</v>
      </c>
      <c r="G17" s="224">
        <f>E17/(F17/100)^2</f>
        <v>17.91588088241744</v>
      </c>
      <c r="H17" s="212" t="s">
        <v>20</v>
      </c>
      <c r="I17" s="209" t="s">
        <v>65</v>
      </c>
      <c r="J17" s="233" t="s">
        <v>65</v>
      </c>
      <c r="K17" s="209" t="s">
        <v>17</v>
      </c>
    </row>
    <row r="18" spans="1:11" ht="19" customHeight="1" x14ac:dyDescent="0.35">
      <c r="A18" s="169">
        <v>2</v>
      </c>
      <c r="B18" s="2" t="s">
        <v>247</v>
      </c>
      <c r="C18" s="3">
        <v>42786</v>
      </c>
      <c r="D18" s="156" t="s">
        <v>248</v>
      </c>
      <c r="E18" s="156">
        <v>43.3</v>
      </c>
      <c r="F18" s="1">
        <v>137</v>
      </c>
      <c r="G18" s="232">
        <f>E18/(F18/100)^2</f>
        <v>23.069955778144809</v>
      </c>
      <c r="H18" s="169" t="s">
        <v>35</v>
      </c>
      <c r="I18" s="214" t="s">
        <v>104</v>
      </c>
      <c r="J18" s="190" t="s">
        <v>65</v>
      </c>
      <c r="K18" s="214" t="s">
        <v>104</v>
      </c>
    </row>
    <row r="19" spans="1:11" ht="19" customHeight="1" thickBot="1" x14ac:dyDescent="0.4">
      <c r="A19" s="174">
        <v>3</v>
      </c>
      <c r="B19" s="175" t="s">
        <v>249</v>
      </c>
      <c r="C19" s="199">
        <v>41271</v>
      </c>
      <c r="D19" s="177" t="s">
        <v>250</v>
      </c>
      <c r="E19" s="194">
        <v>30.45</v>
      </c>
      <c r="F19" s="194">
        <v>131.6</v>
      </c>
      <c r="G19" s="226">
        <f>E19/(F19/100)^2</f>
        <v>17.582293216064155</v>
      </c>
      <c r="H19" s="229" t="s">
        <v>127</v>
      </c>
      <c r="I19" s="178" t="s">
        <v>65</v>
      </c>
      <c r="J19" s="234" t="s">
        <v>127</v>
      </c>
      <c r="K19" s="178" t="s">
        <v>17</v>
      </c>
    </row>
    <row r="20" spans="1:11" ht="9.75" customHeight="1" thickBot="1" x14ac:dyDescent="0.4">
      <c r="A20" s="310" t="s">
        <v>251</v>
      </c>
      <c r="B20" s="311"/>
      <c r="C20" s="311"/>
      <c r="D20" s="311"/>
      <c r="E20" s="311"/>
      <c r="F20" s="311"/>
      <c r="G20" s="311"/>
      <c r="H20" s="311"/>
      <c r="I20" s="311"/>
      <c r="J20" s="311"/>
      <c r="K20" s="288"/>
    </row>
    <row r="21" spans="1:11" ht="19" customHeight="1" x14ac:dyDescent="0.35">
      <c r="A21" s="191">
        <v>1</v>
      </c>
      <c r="B21" s="196" t="s">
        <v>252</v>
      </c>
      <c r="C21" s="201">
        <v>40797</v>
      </c>
      <c r="D21" s="192" t="s">
        <v>253</v>
      </c>
      <c r="E21" s="192">
        <v>55.5</v>
      </c>
      <c r="F21" s="192">
        <v>161.1</v>
      </c>
      <c r="G21" s="224">
        <f>E21/(F21/100)^2</f>
        <v>21.38463796963844</v>
      </c>
      <c r="H21" s="191" t="s">
        <v>17</v>
      </c>
      <c r="I21" s="209" t="s">
        <v>65</v>
      </c>
      <c r="J21" s="233" t="s">
        <v>65</v>
      </c>
      <c r="K21" s="209" t="s">
        <v>17</v>
      </c>
    </row>
    <row r="22" spans="1:11" ht="19" customHeight="1" x14ac:dyDescent="0.35">
      <c r="A22" s="173">
        <v>2</v>
      </c>
      <c r="B22" s="2" t="s">
        <v>254</v>
      </c>
      <c r="C22" s="3">
        <v>40565</v>
      </c>
      <c r="D22" s="156" t="s">
        <v>255</v>
      </c>
      <c r="E22" s="158">
        <v>52.95</v>
      </c>
      <c r="F22" s="156">
        <v>159.1</v>
      </c>
      <c r="G22" s="232">
        <f>E22/(F22/100)^2</f>
        <v>20.918262334367462</v>
      </c>
      <c r="H22" s="220" t="s">
        <v>20</v>
      </c>
      <c r="I22" s="170" t="s">
        <v>65</v>
      </c>
      <c r="J22" s="190" t="s">
        <v>65</v>
      </c>
      <c r="K22" s="170" t="s">
        <v>65</v>
      </c>
    </row>
    <row r="23" spans="1:11" ht="19" customHeight="1" x14ac:dyDescent="0.35">
      <c r="A23" s="169">
        <v>3</v>
      </c>
      <c r="B23" s="2" t="s">
        <v>256</v>
      </c>
      <c r="C23" s="3">
        <v>41065</v>
      </c>
      <c r="D23" s="156" t="s">
        <v>90</v>
      </c>
      <c r="E23" s="157">
        <v>73.95</v>
      </c>
      <c r="F23" s="157">
        <v>158.4</v>
      </c>
      <c r="G23" s="232">
        <f>E23/(F23/100)^2</f>
        <v>29.473236149372511</v>
      </c>
      <c r="H23" s="169" t="s">
        <v>35</v>
      </c>
      <c r="I23" s="214" t="s">
        <v>104</v>
      </c>
      <c r="J23" s="190" t="s">
        <v>65</v>
      </c>
      <c r="K23" s="214" t="s">
        <v>104</v>
      </c>
    </row>
    <row r="24" spans="1:11" ht="19" customHeight="1" x14ac:dyDescent="0.35">
      <c r="A24" s="169">
        <v>4</v>
      </c>
      <c r="B24" s="2" t="s">
        <v>257</v>
      </c>
      <c r="C24" s="3">
        <v>40099</v>
      </c>
      <c r="D24" s="156" t="s">
        <v>258</v>
      </c>
      <c r="E24" s="156">
        <v>51.55</v>
      </c>
      <c r="F24" s="156">
        <v>155.4</v>
      </c>
      <c r="G24" s="232">
        <f>E24/(F24/100)^2</f>
        <v>21.34649818047501</v>
      </c>
      <c r="H24" s="235" t="s">
        <v>120</v>
      </c>
      <c r="I24" s="170" t="s">
        <v>65</v>
      </c>
      <c r="J24" s="218" t="s">
        <v>20</v>
      </c>
      <c r="K24" s="170" t="s">
        <v>65</v>
      </c>
    </row>
    <row r="25" spans="1:11" ht="19" customHeight="1" thickBot="1" x14ac:dyDescent="0.4">
      <c r="A25" s="202">
        <v>5</v>
      </c>
      <c r="B25" s="175" t="s">
        <v>259</v>
      </c>
      <c r="C25" s="199">
        <v>41093</v>
      </c>
      <c r="D25" s="177" t="s">
        <v>260</v>
      </c>
      <c r="E25" s="200">
        <v>69.3</v>
      </c>
      <c r="F25" s="200">
        <v>162.6</v>
      </c>
      <c r="G25" s="226">
        <f>E25/(F25/100)^2</f>
        <v>26.211516727713406</v>
      </c>
      <c r="H25" s="174" t="s">
        <v>35</v>
      </c>
      <c r="I25" s="230" t="s">
        <v>104</v>
      </c>
      <c r="J25" s="203" t="s">
        <v>65</v>
      </c>
      <c r="K25" s="230" t="s">
        <v>104</v>
      </c>
    </row>
    <row r="26" spans="1:11" ht="9.75" customHeight="1" thickBot="1" x14ac:dyDescent="0.4">
      <c r="A26" s="310" t="s">
        <v>261</v>
      </c>
      <c r="B26" s="311"/>
      <c r="C26" s="311"/>
      <c r="D26" s="311"/>
      <c r="E26" s="311"/>
      <c r="F26" s="311"/>
      <c r="G26" s="311"/>
      <c r="H26" s="311"/>
      <c r="I26" s="311"/>
      <c r="J26" s="311"/>
      <c r="K26" s="288"/>
    </row>
    <row r="27" spans="1:11" ht="19" customHeight="1" x14ac:dyDescent="0.35">
      <c r="A27" s="204">
        <v>1</v>
      </c>
      <c r="B27" s="196" t="s">
        <v>262</v>
      </c>
      <c r="C27" s="197">
        <v>40186</v>
      </c>
      <c r="D27" s="192" t="s">
        <v>263</v>
      </c>
      <c r="E27" s="192">
        <v>63.75</v>
      </c>
      <c r="F27" s="192">
        <v>162.19999999999999</v>
      </c>
      <c r="G27" s="224">
        <f>E27/(F27/100)^2</f>
        <v>24.231399027855279</v>
      </c>
      <c r="H27" s="212" t="s">
        <v>20</v>
      </c>
      <c r="I27" s="231" t="s">
        <v>105</v>
      </c>
      <c r="J27" s="236" t="s">
        <v>65</v>
      </c>
      <c r="K27" s="237" t="s">
        <v>65</v>
      </c>
    </row>
    <row r="28" spans="1:11" ht="19" customHeight="1" x14ac:dyDescent="0.35">
      <c r="A28" s="173">
        <v>2</v>
      </c>
      <c r="B28" s="2" t="s">
        <v>264</v>
      </c>
      <c r="C28" s="3">
        <v>40037</v>
      </c>
      <c r="D28" s="156" t="s">
        <v>76</v>
      </c>
      <c r="E28" s="156">
        <v>63.3</v>
      </c>
      <c r="F28" s="156">
        <v>168.5</v>
      </c>
      <c r="G28" s="232">
        <f>E28/(F28/100)^2</f>
        <v>22.294816367142438</v>
      </c>
      <c r="H28" s="169" t="s">
        <v>17</v>
      </c>
      <c r="I28" s="170" t="s">
        <v>65</v>
      </c>
      <c r="J28" s="190" t="s">
        <v>65</v>
      </c>
      <c r="K28" s="170" t="s">
        <v>17</v>
      </c>
    </row>
    <row r="29" spans="1:11" ht="19" customHeight="1" x14ac:dyDescent="0.35">
      <c r="A29" s="173">
        <v>3</v>
      </c>
      <c r="B29" s="2" t="s">
        <v>265</v>
      </c>
      <c r="C29" s="3">
        <v>39739</v>
      </c>
      <c r="D29" s="156" t="s">
        <v>266</v>
      </c>
      <c r="E29" s="156">
        <v>56.15</v>
      </c>
      <c r="F29" s="156">
        <v>154.19999999999999</v>
      </c>
      <c r="G29" s="232">
        <f>E29/(F29/100)^2</f>
        <v>23.61462281370229</v>
      </c>
      <c r="H29" s="235" t="s">
        <v>120</v>
      </c>
      <c r="I29" s="170" t="s">
        <v>65</v>
      </c>
      <c r="J29" s="219" t="s">
        <v>120</v>
      </c>
      <c r="K29" s="170" t="s">
        <v>17</v>
      </c>
    </row>
    <row r="30" spans="1:11" s="163" customFormat="1" ht="19" customHeight="1" x14ac:dyDescent="0.35">
      <c r="A30" s="173">
        <v>4</v>
      </c>
      <c r="B30" s="159" t="s">
        <v>267</v>
      </c>
      <c r="C30" s="160">
        <v>40602</v>
      </c>
      <c r="D30" s="157" t="s">
        <v>268</v>
      </c>
      <c r="E30" s="158">
        <v>88.7</v>
      </c>
      <c r="F30" s="158">
        <v>167.8</v>
      </c>
      <c r="G30" s="225">
        <f>E30/(F30/100)^2</f>
        <v>31.502114583880857</v>
      </c>
      <c r="H30" s="172" t="s">
        <v>17</v>
      </c>
      <c r="I30" s="214" t="s">
        <v>104</v>
      </c>
      <c r="J30" s="195" t="s">
        <v>65</v>
      </c>
      <c r="K30" s="214" t="s">
        <v>104</v>
      </c>
    </row>
    <row r="31" spans="1:11" ht="19" customHeight="1" thickBot="1" x14ac:dyDescent="0.4">
      <c r="A31" s="174">
        <v>5</v>
      </c>
      <c r="B31" s="175" t="s">
        <v>269</v>
      </c>
      <c r="C31" s="176">
        <v>40863</v>
      </c>
      <c r="D31" s="177" t="s">
        <v>213</v>
      </c>
      <c r="E31" s="177">
        <v>55.65</v>
      </c>
      <c r="F31" s="177">
        <v>158.1</v>
      </c>
      <c r="G31" s="226">
        <f>E31/(F31/100)^2</f>
        <v>22.263909542515666</v>
      </c>
      <c r="H31" s="174" t="s">
        <v>17</v>
      </c>
      <c r="I31" s="216" t="s">
        <v>105</v>
      </c>
      <c r="J31" s="203" t="s">
        <v>65</v>
      </c>
      <c r="K31" s="238" t="s">
        <v>65</v>
      </c>
    </row>
  </sheetData>
  <mergeCells count="10">
    <mergeCell ref="A1:K1"/>
    <mergeCell ref="A8:K8"/>
    <mergeCell ref="A2:F2"/>
    <mergeCell ref="A12:K12"/>
    <mergeCell ref="H2:I2"/>
    <mergeCell ref="A4:K4"/>
    <mergeCell ref="A26:K26"/>
    <mergeCell ref="A20:K20"/>
    <mergeCell ref="J2:K2"/>
    <mergeCell ref="A16:K16"/>
  </mergeCells>
  <pageMargins left="0" right="0" top="0" bottom="0" header="0.31496062992125978" footer="0.31496062992125978"/>
  <pageSetup paperSize="9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8"/>
  <sheetViews>
    <sheetView zoomScale="120" zoomScaleNormal="120" workbookViewId="0">
      <selection activeCell="I7" sqref="I7"/>
    </sheetView>
  </sheetViews>
  <sheetFormatPr baseColWidth="10" defaultColWidth="11.453125" defaultRowHeight="14.5" x14ac:dyDescent="0.35"/>
  <cols>
    <col min="1" max="1" width="2.26953125" style="259" customWidth="1"/>
    <col min="2" max="2" width="34.1796875" style="259" customWidth="1"/>
    <col min="3" max="3" width="11.453125" style="259" customWidth="1"/>
    <col min="4" max="16384" width="11.453125" style="259"/>
  </cols>
  <sheetData>
    <row r="1" spans="1:11" ht="15" customHeight="1" x14ac:dyDescent="0.35">
      <c r="A1" s="324" t="s">
        <v>270</v>
      </c>
      <c r="B1" s="297"/>
      <c r="C1" s="297"/>
      <c r="D1" s="297"/>
      <c r="E1" s="297"/>
      <c r="F1" s="297"/>
      <c r="G1" s="297"/>
      <c r="H1" s="297"/>
      <c r="I1" s="297"/>
      <c r="J1" s="297"/>
      <c r="K1" s="304"/>
    </row>
    <row r="2" spans="1:11" s="260" customFormat="1" ht="15" customHeight="1" x14ac:dyDescent="0.35">
      <c r="A2" s="323" t="s">
        <v>1</v>
      </c>
      <c r="B2" s="280"/>
      <c r="C2" s="280"/>
      <c r="D2" s="280"/>
      <c r="E2" s="280"/>
      <c r="F2" s="280"/>
      <c r="G2" s="281"/>
      <c r="H2" s="321" t="s">
        <v>2</v>
      </c>
      <c r="I2" s="281"/>
      <c r="J2" s="322" t="s">
        <v>271</v>
      </c>
      <c r="K2" s="281"/>
    </row>
    <row r="3" spans="1:11" ht="18" customHeight="1" x14ac:dyDescent="0.35">
      <c r="A3" s="239" t="s">
        <v>4</v>
      </c>
      <c r="B3" s="240" t="s">
        <v>5</v>
      </c>
      <c r="C3" s="240" t="s">
        <v>6</v>
      </c>
      <c r="D3" s="240" t="s">
        <v>7</v>
      </c>
      <c r="E3" s="240" t="s">
        <v>8</v>
      </c>
      <c r="F3" s="240" t="s">
        <v>9</v>
      </c>
      <c r="G3" s="240" t="s">
        <v>10</v>
      </c>
      <c r="H3" s="240" t="s">
        <v>11</v>
      </c>
      <c r="I3" s="240" t="s">
        <v>12</v>
      </c>
      <c r="J3" s="240" t="s">
        <v>11</v>
      </c>
      <c r="K3" s="241" t="s">
        <v>10</v>
      </c>
    </row>
    <row r="4" spans="1:11" ht="15" customHeight="1" x14ac:dyDescent="0.35">
      <c r="A4" s="319" t="s">
        <v>272</v>
      </c>
      <c r="B4" s="280"/>
      <c r="C4" s="280"/>
      <c r="D4" s="280"/>
      <c r="E4" s="280"/>
      <c r="F4" s="280"/>
      <c r="G4" s="280"/>
      <c r="H4" s="280"/>
      <c r="I4" s="280"/>
      <c r="J4" s="280"/>
      <c r="K4" s="320"/>
    </row>
    <row r="5" spans="1:11" s="261" customFormat="1" ht="16" customHeight="1" x14ac:dyDescent="0.35">
      <c r="A5" s="242">
        <v>1</v>
      </c>
      <c r="B5" s="243" t="s">
        <v>273</v>
      </c>
      <c r="C5" s="244">
        <v>42904</v>
      </c>
      <c r="D5" s="242" t="s">
        <v>274</v>
      </c>
      <c r="E5" s="242">
        <v>24.9</v>
      </c>
      <c r="F5" s="242">
        <v>133</v>
      </c>
      <c r="G5" s="245">
        <f t="shared" ref="G5:G12" si="0">E5/(F5/100)^2</f>
        <v>14.07654474532195</v>
      </c>
      <c r="H5" s="242" t="s">
        <v>17</v>
      </c>
      <c r="I5" s="263" t="s">
        <v>275</v>
      </c>
      <c r="J5" s="242" t="s">
        <v>17</v>
      </c>
      <c r="K5" s="242" t="s">
        <v>276</v>
      </c>
    </row>
    <row r="6" spans="1:11" s="261" customFormat="1" ht="16" customHeight="1" x14ac:dyDescent="0.35">
      <c r="A6" s="242">
        <v>2</v>
      </c>
      <c r="B6" s="246" t="s">
        <v>277</v>
      </c>
      <c r="C6" s="247">
        <v>43367</v>
      </c>
      <c r="D6" s="242" t="s">
        <v>19</v>
      </c>
      <c r="E6" s="242">
        <v>25</v>
      </c>
      <c r="F6" s="242">
        <v>115.6</v>
      </c>
      <c r="G6" s="245">
        <f t="shared" si="0"/>
        <v>18.707869877036917</v>
      </c>
      <c r="H6" s="262" t="s">
        <v>20</v>
      </c>
      <c r="I6" s="263" t="s">
        <v>21</v>
      </c>
      <c r="J6" s="242" t="s">
        <v>65</v>
      </c>
      <c r="K6" s="263" t="s">
        <v>21</v>
      </c>
    </row>
    <row r="7" spans="1:11" s="261" customFormat="1" ht="16" customHeight="1" x14ac:dyDescent="0.35">
      <c r="A7" s="242">
        <v>3</v>
      </c>
      <c r="B7" s="246" t="s">
        <v>278</v>
      </c>
      <c r="C7" s="247">
        <v>43233</v>
      </c>
      <c r="D7" s="242" t="s">
        <v>279</v>
      </c>
      <c r="E7" s="242">
        <v>29.3</v>
      </c>
      <c r="F7" s="242">
        <v>120.7</v>
      </c>
      <c r="G7" s="245">
        <f t="shared" si="0"/>
        <v>20.111899036894005</v>
      </c>
      <c r="H7" s="242" t="s">
        <v>17</v>
      </c>
      <c r="I7" s="263" t="s">
        <v>21</v>
      </c>
      <c r="J7" s="242" t="s">
        <v>65</v>
      </c>
      <c r="K7" s="268" t="s">
        <v>29</v>
      </c>
    </row>
    <row r="8" spans="1:11" s="261" customFormat="1" ht="16" customHeight="1" x14ac:dyDescent="0.35">
      <c r="A8" s="242">
        <v>4</v>
      </c>
      <c r="B8" s="248" t="s">
        <v>280</v>
      </c>
      <c r="C8" s="249">
        <v>43083</v>
      </c>
      <c r="D8" s="242" t="s">
        <v>281</v>
      </c>
      <c r="E8" s="242">
        <v>26.6</v>
      </c>
      <c r="F8" s="242">
        <v>125</v>
      </c>
      <c r="G8" s="245">
        <f t="shared" si="0"/>
        <v>17.024000000000001</v>
      </c>
      <c r="H8" s="242" t="s">
        <v>17</v>
      </c>
      <c r="I8" s="242" t="s">
        <v>17</v>
      </c>
      <c r="J8" s="242" t="s">
        <v>17</v>
      </c>
      <c r="K8" s="263" t="s">
        <v>21</v>
      </c>
    </row>
    <row r="9" spans="1:11" s="261" customFormat="1" ht="16" customHeight="1" x14ac:dyDescent="0.35">
      <c r="A9" s="242">
        <v>5</v>
      </c>
      <c r="B9" s="248" t="s">
        <v>282</v>
      </c>
      <c r="C9" s="249">
        <v>42755</v>
      </c>
      <c r="D9" s="242" t="s">
        <v>34</v>
      </c>
      <c r="E9" s="242">
        <v>38.9</v>
      </c>
      <c r="F9" s="242">
        <v>135.9</v>
      </c>
      <c r="G9" s="245">
        <f t="shared" si="0"/>
        <v>21.062537326443881</v>
      </c>
      <c r="H9" s="242" t="s">
        <v>17</v>
      </c>
      <c r="I9" s="263" t="s">
        <v>283</v>
      </c>
      <c r="J9" s="242" t="s">
        <v>65</v>
      </c>
      <c r="K9" s="268" t="s">
        <v>29</v>
      </c>
    </row>
    <row r="10" spans="1:11" s="261" customFormat="1" ht="16" customHeight="1" x14ac:dyDescent="0.35">
      <c r="A10" s="242">
        <v>6</v>
      </c>
      <c r="B10" s="248" t="s">
        <v>284</v>
      </c>
      <c r="C10" s="249">
        <v>42631</v>
      </c>
      <c r="D10" s="242" t="s">
        <v>15</v>
      </c>
      <c r="E10" s="242">
        <v>33.799999999999997</v>
      </c>
      <c r="F10" s="242">
        <v>126.6</v>
      </c>
      <c r="G10" s="245">
        <f t="shared" si="0"/>
        <v>21.088674757729809</v>
      </c>
      <c r="H10" s="262" t="s">
        <v>20</v>
      </c>
      <c r="I10" s="263" t="s">
        <v>21</v>
      </c>
      <c r="J10" s="242" t="s">
        <v>65</v>
      </c>
      <c r="K10" s="268" t="s">
        <v>29</v>
      </c>
    </row>
    <row r="11" spans="1:11" s="261" customFormat="1" ht="16" customHeight="1" x14ac:dyDescent="0.35">
      <c r="A11" s="242">
        <v>7</v>
      </c>
      <c r="B11" s="250" t="s">
        <v>285</v>
      </c>
      <c r="C11" s="251">
        <v>43465</v>
      </c>
      <c r="D11" s="242" t="s">
        <v>286</v>
      </c>
      <c r="E11" s="242">
        <v>22.1</v>
      </c>
      <c r="F11" s="242">
        <v>124.7</v>
      </c>
      <c r="G11" s="245">
        <f t="shared" si="0"/>
        <v>14.212136392779719</v>
      </c>
      <c r="H11" s="242" t="s">
        <v>17</v>
      </c>
      <c r="I11" s="242" t="s">
        <v>17</v>
      </c>
      <c r="J11" s="242" t="s">
        <v>65</v>
      </c>
      <c r="K11" s="242" t="s">
        <v>65</v>
      </c>
    </row>
    <row r="12" spans="1:11" s="261" customFormat="1" ht="16" customHeight="1" x14ac:dyDescent="0.35">
      <c r="A12" s="242">
        <v>8</v>
      </c>
      <c r="B12" s="248" t="s">
        <v>287</v>
      </c>
      <c r="C12" s="249">
        <v>42591</v>
      </c>
      <c r="D12" s="242" t="s">
        <v>23</v>
      </c>
      <c r="E12" s="242">
        <v>30.7</v>
      </c>
      <c r="F12" s="242">
        <v>132</v>
      </c>
      <c r="G12" s="245">
        <f t="shared" si="0"/>
        <v>17.619375573921026</v>
      </c>
      <c r="H12" s="242" t="s">
        <v>17</v>
      </c>
      <c r="I12" s="242" t="s">
        <v>17</v>
      </c>
      <c r="J12" s="242" t="s">
        <v>65</v>
      </c>
      <c r="K12" s="242" t="s">
        <v>17</v>
      </c>
    </row>
    <row r="13" spans="1:11" ht="15" customHeight="1" x14ac:dyDescent="0.35">
      <c r="A13" s="319" t="s">
        <v>288</v>
      </c>
      <c r="B13" s="280"/>
      <c r="C13" s="280"/>
      <c r="D13" s="280"/>
      <c r="E13" s="280"/>
      <c r="F13" s="280"/>
      <c r="G13" s="280"/>
      <c r="H13" s="280"/>
      <c r="I13" s="280"/>
      <c r="J13" s="280"/>
      <c r="K13" s="320"/>
    </row>
    <row r="14" spans="1:11" s="261" customFormat="1" ht="16" customHeight="1" x14ac:dyDescent="0.35">
      <c r="A14" s="242">
        <v>1</v>
      </c>
      <c r="B14" s="250" t="s">
        <v>289</v>
      </c>
      <c r="C14" s="249">
        <v>42034</v>
      </c>
      <c r="D14" s="242" t="s">
        <v>60</v>
      </c>
      <c r="E14" s="242">
        <v>25.15</v>
      </c>
      <c r="F14" s="242">
        <v>129</v>
      </c>
      <c r="G14" s="245">
        <f t="shared" ref="G14:G23" si="1">E14/(F14/100)^2</f>
        <v>15.113274442641666</v>
      </c>
      <c r="H14" s="266" t="s">
        <v>16</v>
      </c>
      <c r="I14" s="264" t="s">
        <v>275</v>
      </c>
      <c r="J14" s="266" t="s">
        <v>16</v>
      </c>
      <c r="K14" s="242" t="s">
        <v>17</v>
      </c>
    </row>
    <row r="15" spans="1:11" s="261" customFormat="1" ht="16" customHeight="1" x14ac:dyDescent="0.35">
      <c r="A15" s="242">
        <v>2</v>
      </c>
      <c r="B15" s="250" t="s">
        <v>290</v>
      </c>
      <c r="C15" s="252">
        <v>42284</v>
      </c>
      <c r="D15" s="242" t="s">
        <v>198</v>
      </c>
      <c r="E15" s="242">
        <v>33.799999999999997</v>
      </c>
      <c r="F15" s="242">
        <v>137.19999999999999</v>
      </c>
      <c r="G15" s="245">
        <f t="shared" si="1"/>
        <v>17.955953726763511</v>
      </c>
      <c r="H15" s="262" t="s">
        <v>20</v>
      </c>
      <c r="I15" s="242" t="s">
        <v>17</v>
      </c>
      <c r="J15" s="242" t="s">
        <v>65</v>
      </c>
      <c r="K15" s="242" t="s">
        <v>17</v>
      </c>
    </row>
    <row r="16" spans="1:11" s="261" customFormat="1" ht="16" customHeight="1" x14ac:dyDescent="0.35">
      <c r="A16" s="242">
        <v>3</v>
      </c>
      <c r="B16" s="250" t="s">
        <v>291</v>
      </c>
      <c r="C16" s="249">
        <v>41521</v>
      </c>
      <c r="D16" s="242" t="s">
        <v>292</v>
      </c>
      <c r="E16" s="242">
        <v>44</v>
      </c>
      <c r="F16" s="242">
        <v>144.9</v>
      </c>
      <c r="G16" s="245">
        <f t="shared" si="1"/>
        <v>20.956362661286594</v>
      </c>
      <c r="H16" s="262" t="s">
        <v>20</v>
      </c>
      <c r="I16" s="242" t="s">
        <v>17</v>
      </c>
      <c r="J16" s="242" t="s">
        <v>65</v>
      </c>
      <c r="K16" s="263" t="s">
        <v>21</v>
      </c>
    </row>
    <row r="17" spans="1:11" s="261" customFormat="1" ht="16" customHeight="1" x14ac:dyDescent="0.35">
      <c r="A17" s="242">
        <v>4</v>
      </c>
      <c r="B17" s="250" t="s">
        <v>293</v>
      </c>
      <c r="C17" s="249">
        <v>42315</v>
      </c>
      <c r="D17" s="242" t="s">
        <v>294</v>
      </c>
      <c r="E17" s="242">
        <v>31.4</v>
      </c>
      <c r="F17" s="242">
        <v>132.9</v>
      </c>
      <c r="G17" s="245">
        <f t="shared" si="1"/>
        <v>17.77786836564206</v>
      </c>
      <c r="H17" s="262" t="s">
        <v>20</v>
      </c>
      <c r="I17" s="242" t="s">
        <v>17</v>
      </c>
      <c r="J17" s="242" t="s">
        <v>65</v>
      </c>
      <c r="K17" s="263" t="s">
        <v>21</v>
      </c>
    </row>
    <row r="18" spans="1:11" s="261" customFormat="1" ht="16" customHeight="1" x14ac:dyDescent="0.35">
      <c r="A18" s="242">
        <v>5</v>
      </c>
      <c r="B18" s="248" t="s">
        <v>295</v>
      </c>
      <c r="C18" s="249">
        <v>41491</v>
      </c>
      <c r="D18" s="242" t="s">
        <v>296</v>
      </c>
      <c r="E18" s="242">
        <v>45.35</v>
      </c>
      <c r="F18" s="242">
        <v>161.4</v>
      </c>
      <c r="G18" s="245">
        <f t="shared" si="1"/>
        <v>17.408855906112713</v>
      </c>
      <c r="H18" s="242" t="s">
        <v>35</v>
      </c>
      <c r="I18" s="242" t="s">
        <v>17</v>
      </c>
      <c r="J18" s="242" t="s">
        <v>17</v>
      </c>
      <c r="K18" s="242" t="s">
        <v>17</v>
      </c>
    </row>
    <row r="19" spans="1:11" s="261" customFormat="1" ht="16" customHeight="1" x14ac:dyDescent="0.35">
      <c r="A19" s="242">
        <v>6</v>
      </c>
      <c r="B19" s="248" t="s">
        <v>297</v>
      </c>
      <c r="C19" s="249">
        <v>41767</v>
      </c>
      <c r="D19" s="242" t="s">
        <v>298</v>
      </c>
      <c r="E19" s="242">
        <v>43.35</v>
      </c>
      <c r="F19" s="242">
        <v>141</v>
      </c>
      <c r="G19" s="245">
        <f t="shared" si="1"/>
        <v>21.804738192243853</v>
      </c>
      <c r="H19" s="262" t="s">
        <v>20</v>
      </c>
      <c r="I19" s="263" t="s">
        <v>21</v>
      </c>
      <c r="J19" s="262" t="s">
        <v>20</v>
      </c>
      <c r="K19" s="263" t="s">
        <v>21</v>
      </c>
    </row>
    <row r="20" spans="1:11" s="261" customFormat="1" ht="16" customHeight="1" x14ac:dyDescent="0.35">
      <c r="A20" s="242">
        <v>7</v>
      </c>
      <c r="B20" s="250" t="s">
        <v>299</v>
      </c>
      <c r="C20" s="249">
        <v>40996</v>
      </c>
      <c r="D20" s="242" t="s">
        <v>300</v>
      </c>
      <c r="E20" s="242">
        <v>55.35</v>
      </c>
      <c r="F20" s="242">
        <v>154.80000000000001</v>
      </c>
      <c r="G20" s="245">
        <f t="shared" si="1"/>
        <v>23.098071029385252</v>
      </c>
      <c r="H20" s="242" t="s">
        <v>17</v>
      </c>
      <c r="I20" s="263" t="s">
        <v>283</v>
      </c>
      <c r="J20" s="242" t="s">
        <v>65</v>
      </c>
      <c r="K20" s="263" t="s">
        <v>21</v>
      </c>
    </row>
    <row r="21" spans="1:11" s="261" customFormat="1" ht="16" customHeight="1" x14ac:dyDescent="0.35">
      <c r="A21" s="242">
        <v>8</v>
      </c>
      <c r="B21" s="250" t="s">
        <v>301</v>
      </c>
      <c r="C21" s="249">
        <v>42029</v>
      </c>
      <c r="D21" s="242" t="s">
        <v>60</v>
      </c>
      <c r="E21" s="242">
        <v>58.15</v>
      </c>
      <c r="F21" s="242">
        <v>157.1</v>
      </c>
      <c r="G21" s="245">
        <f t="shared" si="1"/>
        <v>23.561196916906972</v>
      </c>
      <c r="H21" s="242" t="s">
        <v>302</v>
      </c>
      <c r="I21" s="263" t="s">
        <v>303</v>
      </c>
      <c r="J21" s="242" t="s">
        <v>17</v>
      </c>
      <c r="K21" s="263" t="s">
        <v>21</v>
      </c>
    </row>
    <row r="22" spans="1:11" s="261" customFormat="1" ht="16" customHeight="1" x14ac:dyDescent="0.35">
      <c r="A22" s="242">
        <v>9</v>
      </c>
      <c r="B22" s="250" t="s">
        <v>304</v>
      </c>
      <c r="C22" s="249">
        <v>41639</v>
      </c>
      <c r="D22" s="242" t="s">
        <v>47</v>
      </c>
      <c r="E22" s="242">
        <v>29.15</v>
      </c>
      <c r="F22" s="242">
        <v>139.80000000000001</v>
      </c>
      <c r="G22" s="245">
        <f t="shared" si="1"/>
        <v>14.915032920522057</v>
      </c>
      <c r="H22" s="262" t="s">
        <v>20</v>
      </c>
      <c r="I22" s="265" t="s">
        <v>275</v>
      </c>
      <c r="J22" s="242" t="s">
        <v>17</v>
      </c>
      <c r="K22" s="242" t="s">
        <v>17</v>
      </c>
    </row>
    <row r="23" spans="1:11" ht="16" customHeight="1" x14ac:dyDescent="0.35">
      <c r="A23" s="255">
        <v>10</v>
      </c>
      <c r="B23" s="253" t="s">
        <v>305</v>
      </c>
      <c r="C23" s="254">
        <v>42311</v>
      </c>
      <c r="D23" s="255" t="s">
        <v>294</v>
      </c>
      <c r="E23" s="255">
        <v>35</v>
      </c>
      <c r="F23" s="255">
        <v>132.80000000000001</v>
      </c>
      <c r="G23" s="256">
        <f t="shared" si="1"/>
        <v>19.845950065321524</v>
      </c>
      <c r="H23" s="262" t="s">
        <v>20</v>
      </c>
      <c r="I23" s="263" t="s">
        <v>21</v>
      </c>
      <c r="J23" s="255" t="s">
        <v>17</v>
      </c>
      <c r="K23" s="263" t="s">
        <v>21</v>
      </c>
    </row>
    <row r="24" spans="1:11" ht="15" customHeight="1" x14ac:dyDescent="0.35">
      <c r="A24" s="319" t="s">
        <v>306</v>
      </c>
      <c r="B24" s="280"/>
      <c r="C24" s="280"/>
      <c r="D24" s="280"/>
      <c r="E24" s="280"/>
      <c r="F24" s="280"/>
      <c r="G24" s="280"/>
      <c r="H24" s="280"/>
      <c r="I24" s="280"/>
      <c r="J24" s="280"/>
      <c r="K24" s="320"/>
    </row>
    <row r="25" spans="1:11" ht="16" customHeight="1" x14ac:dyDescent="0.35">
      <c r="A25" s="242">
        <v>1</v>
      </c>
      <c r="B25" s="248" t="s">
        <v>307</v>
      </c>
      <c r="C25" s="249">
        <v>40447</v>
      </c>
      <c r="D25" s="242" t="s">
        <v>308</v>
      </c>
      <c r="E25" s="318" t="s">
        <v>72</v>
      </c>
      <c r="F25" s="280"/>
      <c r="G25" s="280"/>
      <c r="H25" s="280"/>
      <c r="I25" s="280"/>
      <c r="J25" s="280"/>
      <c r="K25" s="281"/>
    </row>
    <row r="26" spans="1:11" ht="16" customHeight="1" x14ac:dyDescent="0.35">
      <c r="A26" s="255">
        <v>2</v>
      </c>
      <c r="B26" s="253" t="s">
        <v>309</v>
      </c>
      <c r="C26" s="257">
        <v>39785</v>
      </c>
      <c r="D26" s="255" t="s">
        <v>310</v>
      </c>
      <c r="E26" s="255">
        <v>62.6</v>
      </c>
      <c r="F26" s="255">
        <v>153</v>
      </c>
      <c r="G26" s="256">
        <f>E26/(F26/100)^2</f>
        <v>26.741851424665729</v>
      </c>
      <c r="H26" s="262" t="s">
        <v>20</v>
      </c>
      <c r="I26" s="263" t="s">
        <v>283</v>
      </c>
      <c r="J26" s="262" t="s">
        <v>20</v>
      </c>
      <c r="K26" s="263" t="s">
        <v>21</v>
      </c>
    </row>
    <row r="27" spans="1:11" ht="16" customHeight="1" x14ac:dyDescent="0.35">
      <c r="A27" s="255">
        <v>3</v>
      </c>
      <c r="B27" s="253" t="s">
        <v>311</v>
      </c>
      <c r="C27" s="257">
        <v>41187</v>
      </c>
      <c r="D27" s="255" t="s">
        <v>312</v>
      </c>
      <c r="E27" s="255">
        <v>38.799999999999997</v>
      </c>
      <c r="F27" s="255">
        <v>144</v>
      </c>
      <c r="G27" s="256">
        <f>E27/(F27/100)^2</f>
        <v>18.711419753086421</v>
      </c>
      <c r="H27" s="262" t="s">
        <v>20</v>
      </c>
      <c r="I27" s="255" t="s">
        <v>17</v>
      </c>
      <c r="J27" s="262" t="s">
        <v>20</v>
      </c>
      <c r="K27" s="255" t="s">
        <v>17</v>
      </c>
    </row>
    <row r="28" spans="1:11" ht="16" customHeight="1" x14ac:dyDescent="0.35">
      <c r="A28" s="255">
        <v>4</v>
      </c>
      <c r="B28" s="253" t="s">
        <v>313</v>
      </c>
      <c r="C28" s="257">
        <v>41070</v>
      </c>
      <c r="D28" s="255" t="s">
        <v>90</v>
      </c>
      <c r="E28" s="255">
        <v>68.7</v>
      </c>
      <c r="F28" s="255">
        <v>159</v>
      </c>
      <c r="G28" s="256">
        <f>E28/(F28/100)^2</f>
        <v>27.17455796843479</v>
      </c>
      <c r="H28" s="255" t="s">
        <v>17</v>
      </c>
      <c r="I28" s="268" t="s">
        <v>29</v>
      </c>
      <c r="J28" s="255" t="s">
        <v>17</v>
      </c>
      <c r="K28" s="268" t="s">
        <v>29</v>
      </c>
    </row>
    <row r="29" spans="1:11" ht="16" customHeight="1" x14ac:dyDescent="0.35">
      <c r="A29" s="255">
        <v>5</v>
      </c>
      <c r="B29" s="253" t="s">
        <v>314</v>
      </c>
      <c r="C29" s="257">
        <v>40840</v>
      </c>
      <c r="D29" s="255" t="s">
        <v>315</v>
      </c>
      <c r="E29" s="255">
        <v>53.3</v>
      </c>
      <c r="F29" s="255">
        <v>155.80000000000001</v>
      </c>
      <c r="G29" s="256">
        <f>E29/(F29/100)^2</f>
        <v>21.957975812445103</v>
      </c>
      <c r="H29" s="255" t="s">
        <v>17</v>
      </c>
      <c r="I29" s="255" t="s">
        <v>17</v>
      </c>
      <c r="J29" s="255" t="s">
        <v>17</v>
      </c>
      <c r="K29" s="263" t="s">
        <v>21</v>
      </c>
    </row>
    <row r="30" spans="1:11" ht="16" customHeight="1" x14ac:dyDescent="0.35">
      <c r="A30" s="242">
        <v>6</v>
      </c>
      <c r="B30" s="248" t="s">
        <v>316</v>
      </c>
      <c r="C30" s="249">
        <v>39849</v>
      </c>
      <c r="D30" s="242" t="s">
        <v>317</v>
      </c>
      <c r="E30" s="318" t="s">
        <v>72</v>
      </c>
      <c r="F30" s="280"/>
      <c r="G30" s="280"/>
      <c r="H30" s="280"/>
      <c r="I30" s="280"/>
      <c r="J30" s="280"/>
      <c r="K30" s="281"/>
    </row>
    <row r="31" spans="1:11" ht="16" customHeight="1" x14ac:dyDescent="0.35">
      <c r="A31" s="242">
        <v>7</v>
      </c>
      <c r="B31" s="248" t="s">
        <v>318</v>
      </c>
      <c r="C31" s="249">
        <v>39984</v>
      </c>
      <c r="D31" s="242" t="s">
        <v>319</v>
      </c>
      <c r="E31" s="318" t="s">
        <v>72</v>
      </c>
      <c r="F31" s="280"/>
      <c r="G31" s="280"/>
      <c r="H31" s="280"/>
      <c r="I31" s="280"/>
      <c r="J31" s="280"/>
      <c r="K31" s="281"/>
    </row>
    <row r="32" spans="1:11" ht="16" customHeight="1" x14ac:dyDescent="0.35">
      <c r="A32" s="255">
        <v>8</v>
      </c>
      <c r="B32" s="253" t="s">
        <v>320</v>
      </c>
      <c r="C32" s="257">
        <v>41000</v>
      </c>
      <c r="D32" s="255" t="s">
        <v>300</v>
      </c>
      <c r="E32" s="255">
        <v>49.7</v>
      </c>
      <c r="F32" s="255">
        <v>146.30000000000001</v>
      </c>
      <c r="G32" s="256">
        <f>E32/(F32/100)^2</f>
        <v>23.22029519209071</v>
      </c>
      <c r="H32" s="262" t="s">
        <v>20</v>
      </c>
      <c r="I32" s="263" t="s">
        <v>21</v>
      </c>
      <c r="J32" s="262" t="s">
        <v>20</v>
      </c>
      <c r="K32" s="263" t="s">
        <v>21</v>
      </c>
    </row>
    <row r="33" spans="1:11" ht="16" customHeight="1" x14ac:dyDescent="0.35">
      <c r="A33" s="255">
        <v>9</v>
      </c>
      <c r="B33" s="253" t="s">
        <v>321</v>
      </c>
      <c r="C33" s="257">
        <v>40034</v>
      </c>
      <c r="D33" s="255" t="s">
        <v>76</v>
      </c>
      <c r="E33" s="255">
        <v>50.8</v>
      </c>
      <c r="F33" s="255">
        <v>141</v>
      </c>
      <c r="G33" s="256">
        <f>E33/(F33/100)^2</f>
        <v>25.552034605905138</v>
      </c>
      <c r="H33" s="266" t="s">
        <v>30</v>
      </c>
      <c r="I33" s="263" t="s">
        <v>21</v>
      </c>
      <c r="J33" s="266" t="s">
        <v>16</v>
      </c>
      <c r="K33" s="263" t="s">
        <v>21</v>
      </c>
    </row>
    <row r="34" spans="1:11" ht="16" customHeight="1" x14ac:dyDescent="0.35">
      <c r="A34" s="255">
        <v>10</v>
      </c>
      <c r="B34" s="253" t="s">
        <v>322</v>
      </c>
      <c r="C34" s="257">
        <v>40768</v>
      </c>
      <c r="D34" s="255" t="s">
        <v>78</v>
      </c>
      <c r="E34" s="255">
        <v>61.9</v>
      </c>
      <c r="F34" s="255">
        <v>156</v>
      </c>
      <c r="G34" s="256">
        <f>E34/(F34/100)^2</f>
        <v>25.435568704799472</v>
      </c>
      <c r="H34" s="255" t="s">
        <v>17</v>
      </c>
      <c r="I34" s="263" t="s">
        <v>21</v>
      </c>
      <c r="J34" s="255" t="s">
        <v>17</v>
      </c>
      <c r="K34" s="263" t="s">
        <v>21</v>
      </c>
    </row>
    <row r="35" spans="1:11" ht="16" customHeight="1" x14ac:dyDescent="0.35">
      <c r="A35" s="255">
        <v>11</v>
      </c>
      <c r="B35" s="253" t="s">
        <v>323</v>
      </c>
      <c r="C35" s="257">
        <v>41170</v>
      </c>
      <c r="D35" s="255" t="s">
        <v>312</v>
      </c>
      <c r="E35" s="255">
        <v>45.5</v>
      </c>
      <c r="F35" s="255">
        <v>151</v>
      </c>
      <c r="G35" s="256">
        <f>E35/(F35/100)^2</f>
        <v>19.95526511995088</v>
      </c>
      <c r="H35" s="255" t="s">
        <v>17</v>
      </c>
      <c r="I35" s="255" t="s">
        <v>17</v>
      </c>
      <c r="J35" s="255" t="s">
        <v>17</v>
      </c>
      <c r="K35" s="263" t="s">
        <v>21</v>
      </c>
    </row>
    <row r="36" spans="1:11" ht="16" customHeight="1" x14ac:dyDescent="0.35">
      <c r="A36" s="255">
        <v>12</v>
      </c>
      <c r="B36" s="253" t="s">
        <v>324</v>
      </c>
      <c r="C36" s="257">
        <v>40802</v>
      </c>
      <c r="D36" s="255" t="s">
        <v>253</v>
      </c>
      <c r="E36" s="255">
        <v>61.4</v>
      </c>
      <c r="F36" s="255">
        <v>156.5</v>
      </c>
      <c r="G36" s="256">
        <f>E36/(F36/100)^2</f>
        <v>25.069154528473295</v>
      </c>
      <c r="H36" s="255" t="s">
        <v>17</v>
      </c>
      <c r="I36" s="263" t="s">
        <v>21</v>
      </c>
      <c r="J36" s="255" t="s">
        <v>17</v>
      </c>
      <c r="K36" s="263" t="s">
        <v>21</v>
      </c>
    </row>
    <row r="37" spans="1:11" ht="16" customHeight="1" x14ac:dyDescent="0.35">
      <c r="A37" s="242">
        <v>13</v>
      </c>
      <c r="B37" s="248" t="s">
        <v>325</v>
      </c>
      <c r="C37" s="249">
        <v>39992</v>
      </c>
      <c r="D37" s="242" t="s">
        <v>319</v>
      </c>
      <c r="E37" s="318" t="s">
        <v>72</v>
      </c>
      <c r="F37" s="280"/>
      <c r="G37" s="280"/>
      <c r="H37" s="280"/>
      <c r="I37" s="280"/>
      <c r="J37" s="280"/>
      <c r="K37" s="281"/>
    </row>
    <row r="38" spans="1:11" ht="16" customHeight="1" x14ac:dyDescent="0.35">
      <c r="A38" s="255">
        <v>14</v>
      </c>
      <c r="B38" s="253" t="s">
        <v>326</v>
      </c>
      <c r="C38" s="257">
        <v>39535</v>
      </c>
      <c r="D38" s="255" t="s">
        <v>327</v>
      </c>
      <c r="E38" s="258">
        <v>55.1</v>
      </c>
      <c r="F38" s="258">
        <v>145.30000000000001</v>
      </c>
      <c r="G38" s="256">
        <f>E38/(F38/100)^2</f>
        <v>26.098789840323718</v>
      </c>
      <c r="H38" s="267" t="s">
        <v>16</v>
      </c>
      <c r="I38" s="263" t="s">
        <v>283</v>
      </c>
      <c r="J38" s="262" t="s">
        <v>20</v>
      </c>
      <c r="K38" s="263" t="s">
        <v>21</v>
      </c>
    </row>
  </sheetData>
  <mergeCells count="11">
    <mergeCell ref="A1:K1"/>
    <mergeCell ref="E37:K37"/>
    <mergeCell ref="E31:K31"/>
    <mergeCell ref="A4:K4"/>
    <mergeCell ref="H2:I2"/>
    <mergeCell ref="J2:K2"/>
    <mergeCell ref="E30:K30"/>
    <mergeCell ref="A24:K24"/>
    <mergeCell ref="A2:G2"/>
    <mergeCell ref="A13:K13"/>
    <mergeCell ref="E25:K25"/>
  </mergeCells>
  <pageMargins left="0" right="0" top="0" bottom="0" header="0.31496062992125978" footer="0.31496062992125978"/>
  <pageSetup paperSize="9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3"/>
  <sheetViews>
    <sheetView tabSelected="1" zoomScale="110" zoomScaleNormal="110" workbookViewId="0">
      <selection activeCell="A4" sqref="A4:K4"/>
    </sheetView>
  </sheetViews>
  <sheetFormatPr baseColWidth="10" defaultColWidth="11.453125" defaultRowHeight="9.5" x14ac:dyDescent="0.35"/>
  <cols>
    <col min="1" max="1" width="2.7265625" style="130" customWidth="1"/>
    <col min="2" max="2" width="36.7265625" style="130" customWidth="1"/>
    <col min="3" max="3" width="11.453125" style="130" customWidth="1"/>
    <col min="4" max="16384" width="11.453125" style="130"/>
  </cols>
  <sheetData>
    <row r="1" spans="1:11" ht="9.75" customHeight="1" x14ac:dyDescent="0.35">
      <c r="A1" s="284" t="s">
        <v>0</v>
      </c>
      <c r="B1" s="280"/>
      <c r="C1" s="280"/>
      <c r="D1" s="280"/>
      <c r="E1" s="280"/>
      <c r="F1" s="280"/>
      <c r="G1" s="280"/>
      <c r="H1" s="280"/>
      <c r="I1" s="280"/>
      <c r="J1" s="280"/>
      <c r="K1" s="281"/>
    </row>
    <row r="2" spans="1:11" ht="7.5" customHeight="1" x14ac:dyDescent="0.35">
      <c r="A2" s="282" t="s">
        <v>1</v>
      </c>
      <c r="B2" s="280"/>
      <c r="C2" s="280"/>
      <c r="D2" s="280"/>
      <c r="E2" s="280"/>
      <c r="F2" s="280"/>
      <c r="G2" s="281"/>
      <c r="H2" s="282" t="s">
        <v>2</v>
      </c>
      <c r="I2" s="281"/>
      <c r="J2" s="282" t="s">
        <v>3</v>
      </c>
      <c r="K2" s="281"/>
    </row>
    <row r="3" spans="1:11" ht="15.75" customHeight="1" x14ac:dyDescent="0.35">
      <c r="A3" s="278" t="s">
        <v>328</v>
      </c>
      <c r="B3" s="278" t="s">
        <v>5</v>
      </c>
      <c r="C3" s="278" t="s">
        <v>6</v>
      </c>
      <c r="D3" s="278" t="s">
        <v>7</v>
      </c>
      <c r="E3" s="278" t="s">
        <v>8</v>
      </c>
      <c r="F3" s="278" t="s">
        <v>9</v>
      </c>
      <c r="G3" s="278" t="s">
        <v>10</v>
      </c>
      <c r="H3" s="278" t="s">
        <v>11</v>
      </c>
      <c r="I3" s="278" t="s">
        <v>12</v>
      </c>
      <c r="J3" s="278" t="s">
        <v>11</v>
      </c>
      <c r="K3" s="278" t="s">
        <v>10</v>
      </c>
    </row>
    <row r="4" spans="1:11" ht="8.25" customHeight="1" x14ac:dyDescent="0.35">
      <c r="A4" s="283" t="s">
        <v>13</v>
      </c>
      <c r="B4" s="280"/>
      <c r="C4" s="280"/>
      <c r="D4" s="280"/>
      <c r="E4" s="280"/>
      <c r="F4" s="280"/>
      <c r="G4" s="280"/>
      <c r="H4" s="280"/>
      <c r="I4" s="280"/>
      <c r="J4" s="280"/>
      <c r="K4" s="281"/>
    </row>
    <row r="5" spans="1:11" ht="14.5" customHeight="1" x14ac:dyDescent="0.35">
      <c r="A5" s="15">
        <v>1</v>
      </c>
      <c r="B5" s="20" t="s">
        <v>14</v>
      </c>
      <c r="C5" s="19">
        <v>42647</v>
      </c>
      <c r="D5" s="15" t="s">
        <v>15</v>
      </c>
      <c r="E5" s="15">
        <v>23.5</v>
      </c>
      <c r="F5" s="15">
        <v>122.4</v>
      </c>
      <c r="G5" s="16">
        <f t="shared" ref="G5:G16" si="0">E5/(F5/100)^2</f>
        <v>15.685740527147679</v>
      </c>
      <c r="H5" s="270" t="s">
        <v>16</v>
      </c>
      <c r="I5" s="271" t="s">
        <v>17</v>
      </c>
      <c r="J5" s="271" t="s">
        <v>17</v>
      </c>
      <c r="K5" s="271" t="s">
        <v>17</v>
      </c>
    </row>
    <row r="6" spans="1:11" ht="14.5" customHeight="1" x14ac:dyDescent="0.35">
      <c r="A6" s="15">
        <v>2</v>
      </c>
      <c r="B6" s="27" t="s">
        <v>18</v>
      </c>
      <c r="C6" s="31">
        <v>43357</v>
      </c>
      <c r="D6" s="15" t="s">
        <v>19</v>
      </c>
      <c r="E6" s="15">
        <v>24.35</v>
      </c>
      <c r="F6" s="15">
        <v>118</v>
      </c>
      <c r="G6" s="16">
        <f t="shared" si="0"/>
        <v>17.487790864694055</v>
      </c>
      <c r="H6" s="272" t="s">
        <v>20</v>
      </c>
      <c r="I6" s="273" t="s">
        <v>21</v>
      </c>
      <c r="J6" s="271" t="s">
        <v>17</v>
      </c>
      <c r="K6" s="273" t="s">
        <v>21</v>
      </c>
    </row>
    <row r="7" spans="1:11" ht="14.5" customHeight="1" x14ac:dyDescent="0.35">
      <c r="A7" s="15">
        <v>3</v>
      </c>
      <c r="B7" s="13" t="s">
        <v>22</v>
      </c>
      <c r="C7" s="19">
        <v>42615</v>
      </c>
      <c r="D7" s="15" t="s">
        <v>23</v>
      </c>
      <c r="E7" s="15">
        <v>29.4</v>
      </c>
      <c r="F7" s="15">
        <v>133.80000000000001</v>
      </c>
      <c r="G7" s="16">
        <f t="shared" si="0"/>
        <v>16.422342429300137</v>
      </c>
      <c r="H7" s="271" t="s">
        <v>17</v>
      </c>
      <c r="I7" s="271" t="s">
        <v>17</v>
      </c>
      <c r="J7" s="271" t="s">
        <v>17</v>
      </c>
      <c r="K7" s="271" t="s">
        <v>17</v>
      </c>
    </row>
    <row r="8" spans="1:11" ht="14.5" customHeight="1" x14ac:dyDescent="0.35">
      <c r="A8" s="15">
        <v>4</v>
      </c>
      <c r="B8" s="13" t="s">
        <v>24</v>
      </c>
      <c r="C8" s="19">
        <v>42651</v>
      </c>
      <c r="D8" s="15" t="s">
        <v>15</v>
      </c>
      <c r="E8" s="15">
        <v>22.35</v>
      </c>
      <c r="F8" s="15">
        <v>120.4</v>
      </c>
      <c r="G8" s="16">
        <f t="shared" si="0"/>
        <v>15.417876182382097</v>
      </c>
      <c r="H8" s="270" t="s">
        <v>16</v>
      </c>
      <c r="I8" s="271" t="s">
        <v>17</v>
      </c>
      <c r="J8" s="272" t="s">
        <v>20</v>
      </c>
      <c r="K8" s="271" t="s">
        <v>17</v>
      </c>
    </row>
    <row r="9" spans="1:11" ht="14.5" customHeight="1" x14ac:dyDescent="0.35">
      <c r="A9" s="15">
        <v>5</v>
      </c>
      <c r="B9" s="13" t="s">
        <v>25</v>
      </c>
      <c r="C9" s="19">
        <v>42841</v>
      </c>
      <c r="D9" s="15" t="s">
        <v>26</v>
      </c>
      <c r="E9" s="15">
        <v>27.45</v>
      </c>
      <c r="F9" s="15">
        <v>130</v>
      </c>
      <c r="G9" s="16">
        <f t="shared" si="0"/>
        <v>16.242603550295858</v>
      </c>
      <c r="H9" s="271" t="s">
        <v>17</v>
      </c>
      <c r="I9" s="271" t="s">
        <v>17</v>
      </c>
      <c r="J9" s="271" t="s">
        <v>17</v>
      </c>
      <c r="K9" s="271" t="s">
        <v>17</v>
      </c>
    </row>
    <row r="10" spans="1:11" ht="14.5" customHeight="1" x14ac:dyDescent="0.35">
      <c r="A10" s="15">
        <v>6</v>
      </c>
      <c r="B10" s="13" t="s">
        <v>27</v>
      </c>
      <c r="C10" s="19">
        <v>43184</v>
      </c>
      <c r="D10" s="15" t="s">
        <v>28</v>
      </c>
      <c r="E10" s="15">
        <v>27.1</v>
      </c>
      <c r="F10" s="15">
        <v>116</v>
      </c>
      <c r="G10" s="16">
        <f t="shared" si="0"/>
        <v>20.139714625445901</v>
      </c>
      <c r="H10" s="272" t="s">
        <v>20</v>
      </c>
      <c r="I10" s="274" t="s">
        <v>29</v>
      </c>
      <c r="J10" s="270" t="s">
        <v>30</v>
      </c>
      <c r="K10" s="273" t="s">
        <v>21</v>
      </c>
    </row>
    <row r="11" spans="1:11" ht="14.5" customHeight="1" x14ac:dyDescent="0.35">
      <c r="A11" s="15">
        <v>7</v>
      </c>
      <c r="B11" s="13" t="s">
        <v>31</v>
      </c>
      <c r="C11" s="19">
        <v>42376</v>
      </c>
      <c r="D11" s="15" t="s">
        <v>32</v>
      </c>
      <c r="E11" s="15">
        <v>25.3</v>
      </c>
      <c r="F11" s="15">
        <v>121.7</v>
      </c>
      <c r="G11" s="16">
        <f t="shared" si="0"/>
        <v>17.082025455593822</v>
      </c>
      <c r="H11" s="270" t="s">
        <v>16</v>
      </c>
      <c r="I11" s="271" t="s">
        <v>17</v>
      </c>
      <c r="J11" s="272" t="s">
        <v>20</v>
      </c>
      <c r="K11" s="271" t="s">
        <v>17</v>
      </c>
    </row>
    <row r="12" spans="1:11" ht="14.5" customHeight="1" x14ac:dyDescent="0.35">
      <c r="A12" s="15">
        <v>8</v>
      </c>
      <c r="B12" s="13" t="s">
        <v>33</v>
      </c>
      <c r="C12" s="19">
        <v>42745</v>
      </c>
      <c r="D12" s="15" t="s">
        <v>34</v>
      </c>
      <c r="E12" s="15">
        <v>38.950000000000003</v>
      </c>
      <c r="F12" s="15">
        <v>143.9</v>
      </c>
      <c r="G12" s="16">
        <f t="shared" si="0"/>
        <v>18.809873469192613</v>
      </c>
      <c r="H12" s="271" t="s">
        <v>35</v>
      </c>
      <c r="I12" s="273" t="s">
        <v>21</v>
      </c>
      <c r="J12" s="271" t="s">
        <v>35</v>
      </c>
      <c r="K12" s="273" t="s">
        <v>21</v>
      </c>
    </row>
    <row r="13" spans="1:11" ht="14.5" customHeight="1" x14ac:dyDescent="0.35">
      <c r="A13" s="269">
        <v>9</v>
      </c>
      <c r="B13" s="27" t="s">
        <v>36</v>
      </c>
      <c r="C13" s="31">
        <v>43498</v>
      </c>
      <c r="D13" s="21" t="s">
        <v>37</v>
      </c>
      <c r="E13" s="21">
        <v>20.95</v>
      </c>
      <c r="F13" s="21">
        <v>114</v>
      </c>
      <c r="G13" s="16">
        <f t="shared" si="0"/>
        <v>16.120344721452756</v>
      </c>
      <c r="H13" s="275" t="s">
        <v>20</v>
      </c>
      <c r="I13" s="276" t="s">
        <v>17</v>
      </c>
      <c r="J13" s="275" t="s">
        <v>20</v>
      </c>
      <c r="K13" s="276" t="s">
        <v>17</v>
      </c>
    </row>
    <row r="14" spans="1:11" ht="14.5" customHeight="1" x14ac:dyDescent="0.35">
      <c r="A14" s="269">
        <v>10</v>
      </c>
      <c r="B14" s="27" t="s">
        <v>38</v>
      </c>
      <c r="C14" s="31">
        <v>43403</v>
      </c>
      <c r="D14" s="21" t="s">
        <v>39</v>
      </c>
      <c r="E14" s="21">
        <v>21.25</v>
      </c>
      <c r="F14" s="21">
        <v>114</v>
      </c>
      <c r="G14" s="16">
        <f t="shared" si="0"/>
        <v>16.351184979993846</v>
      </c>
      <c r="H14" s="275" t="s">
        <v>20</v>
      </c>
      <c r="I14" s="276" t="s">
        <v>17</v>
      </c>
      <c r="J14" s="275" t="s">
        <v>20</v>
      </c>
      <c r="K14" s="276" t="s">
        <v>17</v>
      </c>
    </row>
    <row r="15" spans="1:11" ht="14.5" customHeight="1" x14ac:dyDescent="0.35">
      <c r="A15" s="15">
        <v>11</v>
      </c>
      <c r="B15" s="13" t="s">
        <v>40</v>
      </c>
      <c r="C15" s="19">
        <v>43106</v>
      </c>
      <c r="D15" s="15" t="s">
        <v>41</v>
      </c>
      <c r="E15" s="15">
        <v>25.8</v>
      </c>
      <c r="F15" s="15">
        <v>124.5</v>
      </c>
      <c r="G15" s="16">
        <f t="shared" si="0"/>
        <v>16.644892824309284</v>
      </c>
      <c r="H15" s="271" t="s">
        <v>17</v>
      </c>
      <c r="I15" s="277" t="s">
        <v>17</v>
      </c>
      <c r="J15" s="271" t="s">
        <v>17</v>
      </c>
      <c r="K15" s="271" t="s">
        <v>42</v>
      </c>
    </row>
    <row r="16" spans="1:11" ht="14.5" customHeight="1" x14ac:dyDescent="0.35">
      <c r="A16" s="15">
        <v>12</v>
      </c>
      <c r="B16" s="13" t="s">
        <v>43</v>
      </c>
      <c r="C16" s="19">
        <v>42190</v>
      </c>
      <c r="D16" s="15" t="s">
        <v>44</v>
      </c>
      <c r="E16" s="15">
        <v>34.4</v>
      </c>
      <c r="F16" s="15">
        <v>139.4</v>
      </c>
      <c r="G16" s="16">
        <f t="shared" si="0"/>
        <v>17.702430379017265</v>
      </c>
      <c r="H16" s="271" t="s">
        <v>17</v>
      </c>
      <c r="I16" s="271" t="s">
        <v>17</v>
      </c>
      <c r="J16" s="271" t="s">
        <v>17</v>
      </c>
      <c r="K16" s="271" t="s">
        <v>17</v>
      </c>
    </row>
    <row r="17" spans="1:11" ht="8.25" customHeight="1" x14ac:dyDescent="0.35">
      <c r="A17" s="283" t="s">
        <v>45</v>
      </c>
      <c r="B17" s="280"/>
      <c r="C17" s="280"/>
      <c r="D17" s="280"/>
      <c r="E17" s="280"/>
      <c r="F17" s="280"/>
      <c r="G17" s="280"/>
      <c r="H17" s="280"/>
      <c r="I17" s="280"/>
      <c r="J17" s="280"/>
      <c r="K17" s="281"/>
    </row>
    <row r="18" spans="1:11" ht="15" customHeight="1" x14ac:dyDescent="0.35">
      <c r="A18" s="15">
        <v>1</v>
      </c>
      <c r="B18" s="13" t="s">
        <v>46</v>
      </c>
      <c r="C18" s="19">
        <v>41636</v>
      </c>
      <c r="D18" s="15" t="s">
        <v>47</v>
      </c>
      <c r="E18" s="15">
        <v>35.75</v>
      </c>
      <c r="F18" s="15">
        <v>140</v>
      </c>
      <c r="G18" s="16">
        <f t="shared" ref="G18:G28" si="1">E18/(F18/100)^2</f>
        <v>18.239795918367349</v>
      </c>
      <c r="H18" s="272" t="s">
        <v>20</v>
      </c>
      <c r="I18" s="271" t="s">
        <v>17</v>
      </c>
      <c r="J18" s="271" t="s">
        <v>17</v>
      </c>
      <c r="K18" s="271" t="s">
        <v>17</v>
      </c>
    </row>
    <row r="19" spans="1:11" ht="15" customHeight="1" x14ac:dyDescent="0.35">
      <c r="A19" s="15">
        <v>2</v>
      </c>
      <c r="B19" s="13" t="s">
        <v>48</v>
      </c>
      <c r="C19" s="19">
        <v>41606</v>
      </c>
      <c r="D19" s="15" t="s">
        <v>49</v>
      </c>
      <c r="E19" s="15">
        <v>41.8</v>
      </c>
      <c r="F19" s="15">
        <v>146</v>
      </c>
      <c r="G19" s="16">
        <f t="shared" si="1"/>
        <v>19.609682867329706</v>
      </c>
      <c r="H19" s="271" t="s">
        <v>17</v>
      </c>
      <c r="I19" s="271" t="s">
        <v>17</v>
      </c>
      <c r="J19" s="271" t="s">
        <v>17</v>
      </c>
      <c r="K19" s="271" t="s">
        <v>17</v>
      </c>
    </row>
    <row r="20" spans="1:11" ht="15" customHeight="1" x14ac:dyDescent="0.35">
      <c r="A20" s="15">
        <v>4</v>
      </c>
      <c r="B20" s="13" t="s">
        <v>50</v>
      </c>
      <c r="C20" s="19">
        <v>41304</v>
      </c>
      <c r="D20" s="15" t="s">
        <v>51</v>
      </c>
      <c r="E20" s="15">
        <v>48</v>
      </c>
      <c r="F20" s="15">
        <v>146.5</v>
      </c>
      <c r="G20" s="16">
        <f t="shared" si="1"/>
        <v>22.364849910890047</v>
      </c>
      <c r="H20" s="272" t="s">
        <v>20</v>
      </c>
      <c r="I20" s="273" t="s">
        <v>21</v>
      </c>
      <c r="J20" s="271" t="s">
        <v>17</v>
      </c>
      <c r="K20" s="273" t="s">
        <v>21</v>
      </c>
    </row>
    <row r="21" spans="1:11" ht="15" customHeight="1" x14ac:dyDescent="0.35">
      <c r="A21" s="15">
        <v>5</v>
      </c>
      <c r="B21" s="13" t="s">
        <v>52</v>
      </c>
      <c r="C21" s="19">
        <v>41693</v>
      </c>
      <c r="D21" s="15" t="s">
        <v>53</v>
      </c>
      <c r="E21" s="15">
        <v>50.85</v>
      </c>
      <c r="F21" s="15">
        <v>161</v>
      </c>
      <c r="G21" s="16">
        <f t="shared" si="1"/>
        <v>19.61729871532734</v>
      </c>
      <c r="H21" s="271" t="s">
        <v>35</v>
      </c>
      <c r="I21" s="277" t="s">
        <v>17</v>
      </c>
      <c r="J21" s="271" t="s">
        <v>35</v>
      </c>
      <c r="K21" s="271" t="s">
        <v>17</v>
      </c>
    </row>
    <row r="22" spans="1:11" ht="15" customHeight="1" x14ac:dyDescent="0.35">
      <c r="A22" s="15">
        <v>6</v>
      </c>
      <c r="B22" s="13" t="s">
        <v>54</v>
      </c>
      <c r="C22" s="19">
        <v>41693</v>
      </c>
      <c r="D22" s="15" t="s">
        <v>53</v>
      </c>
      <c r="E22" s="15">
        <v>62.95</v>
      </c>
      <c r="F22" s="15">
        <v>159.5</v>
      </c>
      <c r="G22" s="16">
        <f t="shared" si="1"/>
        <v>24.744253692475507</v>
      </c>
      <c r="H22" s="271" t="s">
        <v>35</v>
      </c>
      <c r="I22" s="274" t="s">
        <v>29</v>
      </c>
      <c r="J22" s="271" t="s">
        <v>35</v>
      </c>
      <c r="K22" s="273" t="s">
        <v>21</v>
      </c>
    </row>
    <row r="23" spans="1:11" ht="15" customHeight="1" x14ac:dyDescent="0.35">
      <c r="A23" s="15">
        <v>7</v>
      </c>
      <c r="B23" s="13" t="s">
        <v>55</v>
      </c>
      <c r="C23" s="14">
        <v>42179</v>
      </c>
      <c r="D23" s="15" t="s">
        <v>44</v>
      </c>
      <c r="E23" s="15">
        <v>35.4</v>
      </c>
      <c r="F23" s="15">
        <v>138.80000000000001</v>
      </c>
      <c r="G23" s="16">
        <f t="shared" si="1"/>
        <v>18.374872310209366</v>
      </c>
      <c r="H23" s="271" t="s">
        <v>17</v>
      </c>
      <c r="I23" s="271" t="s">
        <v>17</v>
      </c>
      <c r="J23" s="271" t="s">
        <v>17</v>
      </c>
      <c r="K23" s="271" t="s">
        <v>17</v>
      </c>
    </row>
    <row r="24" spans="1:11" ht="15" customHeight="1" x14ac:dyDescent="0.35">
      <c r="A24" s="15">
        <v>8</v>
      </c>
      <c r="B24" s="13" t="s">
        <v>56</v>
      </c>
      <c r="C24" s="19">
        <v>41776</v>
      </c>
      <c r="D24" s="15" t="s">
        <v>57</v>
      </c>
      <c r="E24" s="15">
        <v>40.6</v>
      </c>
      <c r="F24" s="15">
        <v>139.19999999999999</v>
      </c>
      <c r="G24" s="16">
        <f t="shared" si="1"/>
        <v>20.953065134099621</v>
      </c>
      <c r="H24" s="272" t="s">
        <v>20</v>
      </c>
      <c r="I24" s="273" t="s">
        <v>21</v>
      </c>
      <c r="J24" s="271" t="s">
        <v>17</v>
      </c>
      <c r="K24" s="273" t="s">
        <v>21</v>
      </c>
    </row>
    <row r="25" spans="1:11" ht="15" customHeight="1" x14ac:dyDescent="0.35">
      <c r="A25" s="15">
        <v>9</v>
      </c>
      <c r="B25" s="13" t="s">
        <v>58</v>
      </c>
      <c r="C25" s="19">
        <v>42180</v>
      </c>
      <c r="D25" s="15" t="s">
        <v>44</v>
      </c>
      <c r="E25" s="15">
        <v>46.4</v>
      </c>
      <c r="F25" s="15">
        <v>138.69999999999999</v>
      </c>
      <c r="G25" s="16">
        <f t="shared" si="1"/>
        <v>24.119319939140308</v>
      </c>
      <c r="H25" s="271" t="s">
        <v>17</v>
      </c>
      <c r="I25" s="274" t="s">
        <v>29</v>
      </c>
      <c r="J25" s="271" t="s">
        <v>17</v>
      </c>
      <c r="K25" s="274" t="s">
        <v>29</v>
      </c>
    </row>
    <row r="26" spans="1:11" ht="15" customHeight="1" x14ac:dyDescent="0.35">
      <c r="A26" s="15">
        <v>10</v>
      </c>
      <c r="B26" s="13" t="s">
        <v>59</v>
      </c>
      <c r="C26" s="14">
        <v>42018</v>
      </c>
      <c r="D26" s="15" t="s">
        <v>60</v>
      </c>
      <c r="E26" s="15">
        <v>42.35</v>
      </c>
      <c r="F26" s="15">
        <v>145</v>
      </c>
      <c r="G26" s="16">
        <f t="shared" si="1"/>
        <v>20.142687277051131</v>
      </c>
      <c r="H26" s="271" t="s">
        <v>17</v>
      </c>
      <c r="I26" s="273" t="s">
        <v>21</v>
      </c>
      <c r="J26" s="271" t="s">
        <v>17</v>
      </c>
      <c r="K26" s="273" t="s">
        <v>21</v>
      </c>
    </row>
    <row r="27" spans="1:11" ht="15" customHeight="1" x14ac:dyDescent="0.35">
      <c r="A27" s="15">
        <v>11</v>
      </c>
      <c r="B27" s="13" t="s">
        <v>61</v>
      </c>
      <c r="C27" s="19">
        <v>41552</v>
      </c>
      <c r="D27" s="15" t="s">
        <v>62</v>
      </c>
      <c r="E27" s="15">
        <v>58.4</v>
      </c>
      <c r="F27" s="15">
        <v>157.4</v>
      </c>
      <c r="G27" s="16">
        <f t="shared" si="1"/>
        <v>23.572377694072514</v>
      </c>
      <c r="H27" s="271" t="s">
        <v>17</v>
      </c>
      <c r="I27" s="273" t="s">
        <v>21</v>
      </c>
      <c r="J27" s="271" t="s">
        <v>17</v>
      </c>
      <c r="K27" s="273" t="s">
        <v>21</v>
      </c>
    </row>
    <row r="28" spans="1:11" ht="15" customHeight="1" x14ac:dyDescent="0.35">
      <c r="A28" s="15">
        <v>12</v>
      </c>
      <c r="B28" s="13" t="s">
        <v>63</v>
      </c>
      <c r="C28" s="19">
        <v>42415</v>
      </c>
      <c r="D28" s="15" t="s">
        <v>64</v>
      </c>
      <c r="E28" s="15">
        <v>28.8</v>
      </c>
      <c r="F28" s="15">
        <v>132.9</v>
      </c>
      <c r="G28" s="16">
        <f t="shared" si="1"/>
        <v>16.305815571034756</v>
      </c>
      <c r="H28" s="271" t="s">
        <v>17</v>
      </c>
      <c r="I28" s="271" t="s">
        <v>17</v>
      </c>
      <c r="J28" s="271" t="s">
        <v>65</v>
      </c>
      <c r="K28" s="271" t="s">
        <v>17</v>
      </c>
    </row>
    <row r="29" spans="1:11" ht="8.25" customHeight="1" x14ac:dyDescent="0.35">
      <c r="A29" s="283" t="s">
        <v>66</v>
      </c>
      <c r="B29" s="280"/>
      <c r="C29" s="280"/>
      <c r="D29" s="280"/>
      <c r="E29" s="280"/>
      <c r="F29" s="280"/>
      <c r="G29" s="280"/>
      <c r="H29" s="280"/>
      <c r="I29" s="280"/>
      <c r="J29" s="280"/>
      <c r="K29" s="281"/>
    </row>
    <row r="30" spans="1:11" ht="14.5" customHeight="1" x14ac:dyDescent="0.35">
      <c r="A30" s="15">
        <v>1</v>
      </c>
      <c r="B30" s="13" t="s">
        <v>67</v>
      </c>
      <c r="C30" s="19">
        <v>41298</v>
      </c>
      <c r="D30" s="15" t="s">
        <v>51</v>
      </c>
      <c r="E30" s="15">
        <v>50.5</v>
      </c>
      <c r="F30" s="15">
        <v>154</v>
      </c>
      <c r="G30" s="16">
        <f>E30/(F30/100)^2</f>
        <v>21.293641423511556</v>
      </c>
      <c r="H30" s="277" t="s">
        <v>17</v>
      </c>
      <c r="I30" s="273" t="s">
        <v>21</v>
      </c>
      <c r="J30" s="277" t="s">
        <v>65</v>
      </c>
      <c r="K30" s="271" t="s">
        <v>17</v>
      </c>
    </row>
    <row r="31" spans="1:11" ht="14.5" customHeight="1" x14ac:dyDescent="0.35">
      <c r="A31" s="15">
        <v>13</v>
      </c>
      <c r="B31" s="13" t="s">
        <v>68</v>
      </c>
      <c r="C31" s="19">
        <v>41001</v>
      </c>
      <c r="D31" s="15" t="s">
        <v>69</v>
      </c>
      <c r="E31" s="15">
        <v>62.5</v>
      </c>
      <c r="F31" s="15">
        <v>163</v>
      </c>
      <c r="G31" s="16">
        <f>E31/(F31/100)^2</f>
        <v>23.523655387858032</v>
      </c>
      <c r="H31" s="271" t="s">
        <v>17</v>
      </c>
      <c r="I31" s="273" t="s">
        <v>21</v>
      </c>
      <c r="J31" s="271" t="s">
        <v>17</v>
      </c>
      <c r="K31" s="273" t="s">
        <v>21</v>
      </c>
    </row>
    <row r="32" spans="1:11" ht="14.5" customHeight="1" x14ac:dyDescent="0.35">
      <c r="A32" s="25">
        <v>2</v>
      </c>
      <c r="B32" s="32" t="s">
        <v>70</v>
      </c>
      <c r="C32" s="33">
        <v>39621</v>
      </c>
      <c r="D32" s="25" t="s">
        <v>71</v>
      </c>
      <c r="E32" s="279" t="s">
        <v>72</v>
      </c>
      <c r="F32" s="280"/>
      <c r="G32" s="280"/>
      <c r="H32" s="280"/>
      <c r="I32" s="280"/>
      <c r="J32" s="280"/>
      <c r="K32" s="281"/>
    </row>
    <row r="33" spans="1:11" ht="14.5" customHeight="1" x14ac:dyDescent="0.35">
      <c r="A33" s="25">
        <v>3</v>
      </c>
      <c r="B33" s="32" t="s">
        <v>73</v>
      </c>
      <c r="C33" s="33">
        <v>39325</v>
      </c>
      <c r="D33" s="25" t="s">
        <v>74</v>
      </c>
      <c r="E33" s="15">
        <v>69.3</v>
      </c>
      <c r="F33" s="15">
        <v>160</v>
      </c>
      <c r="G33" s="16">
        <f>E33/(F33/100)^2</f>
        <v>27.070312499999993</v>
      </c>
      <c r="H33" s="270" t="s">
        <v>16</v>
      </c>
      <c r="I33" s="273" t="s">
        <v>21</v>
      </c>
      <c r="J33" s="271" t="s">
        <v>17</v>
      </c>
      <c r="K33" s="274" t="s">
        <v>29</v>
      </c>
    </row>
    <row r="34" spans="1:11" ht="14.5" customHeight="1" x14ac:dyDescent="0.35">
      <c r="A34" s="25">
        <v>4</v>
      </c>
      <c r="B34" s="32" t="s">
        <v>75</v>
      </c>
      <c r="C34" s="33">
        <v>40058</v>
      </c>
      <c r="D34" s="25" t="s">
        <v>76</v>
      </c>
      <c r="E34" s="15">
        <v>70.900000000000006</v>
      </c>
      <c r="F34" s="15">
        <v>172.5</v>
      </c>
      <c r="G34" s="16">
        <f>E34/(F34/100)^2</f>
        <v>23.826927116152067</v>
      </c>
      <c r="H34" s="271" t="s">
        <v>17</v>
      </c>
      <c r="I34" s="271" t="s">
        <v>17</v>
      </c>
      <c r="J34" s="271" t="s">
        <v>17</v>
      </c>
      <c r="K34" s="273" t="s">
        <v>21</v>
      </c>
    </row>
    <row r="35" spans="1:11" ht="14.5" customHeight="1" x14ac:dyDescent="0.35">
      <c r="A35" s="25">
        <v>16</v>
      </c>
      <c r="B35" s="32" t="s">
        <v>77</v>
      </c>
      <c r="C35" s="33">
        <v>40763</v>
      </c>
      <c r="D35" s="25" t="s">
        <v>78</v>
      </c>
      <c r="E35" s="15">
        <v>62.9</v>
      </c>
      <c r="F35" s="15">
        <v>169.2</v>
      </c>
      <c r="G35" s="16">
        <f>E35/(F35/100)^2</f>
        <v>21.971005259069241</v>
      </c>
      <c r="H35" s="271" t="s">
        <v>17</v>
      </c>
      <c r="I35" s="271" t="s">
        <v>17</v>
      </c>
      <c r="J35" s="271" t="s">
        <v>79</v>
      </c>
      <c r="K35" s="271" t="s">
        <v>17</v>
      </c>
    </row>
    <row r="36" spans="1:11" ht="14.5" customHeight="1" x14ac:dyDescent="0.35">
      <c r="A36" s="25">
        <v>5</v>
      </c>
      <c r="B36" s="32" t="s">
        <v>80</v>
      </c>
      <c r="C36" s="33">
        <v>40637</v>
      </c>
      <c r="D36" s="25" t="s">
        <v>81</v>
      </c>
      <c r="E36" s="15">
        <v>59.7</v>
      </c>
      <c r="F36" s="15">
        <v>158.5</v>
      </c>
      <c r="G36" s="16">
        <f>E36/(F36/100)^2</f>
        <v>23.76379504224343</v>
      </c>
      <c r="H36" s="272" t="s">
        <v>82</v>
      </c>
      <c r="I36" s="273" t="s">
        <v>21</v>
      </c>
      <c r="J36" s="271" t="s">
        <v>17</v>
      </c>
      <c r="K36" s="273" t="s">
        <v>21</v>
      </c>
    </row>
    <row r="37" spans="1:11" ht="14.5" customHeight="1" x14ac:dyDescent="0.35">
      <c r="A37" s="25">
        <v>6</v>
      </c>
      <c r="B37" s="32" t="s">
        <v>83</v>
      </c>
      <c r="C37" s="33">
        <v>40673</v>
      </c>
      <c r="D37" s="25" t="s">
        <v>84</v>
      </c>
      <c r="E37" s="279" t="s">
        <v>72</v>
      </c>
      <c r="F37" s="280"/>
      <c r="G37" s="280"/>
      <c r="H37" s="280"/>
      <c r="I37" s="280"/>
      <c r="J37" s="280"/>
      <c r="K37" s="281"/>
    </row>
    <row r="38" spans="1:11" ht="14.5" customHeight="1" x14ac:dyDescent="0.35">
      <c r="A38" s="25">
        <v>7</v>
      </c>
      <c r="B38" s="32" t="s">
        <v>85</v>
      </c>
      <c r="C38" s="33">
        <v>40271</v>
      </c>
      <c r="D38" s="25" t="s">
        <v>86</v>
      </c>
      <c r="E38" s="15">
        <v>57</v>
      </c>
      <c r="F38" s="15">
        <v>167.8</v>
      </c>
      <c r="G38" s="16">
        <f>E38/(F38/100)^2</f>
        <v>20.243748943418364</v>
      </c>
      <c r="H38" s="271" t="s">
        <v>17</v>
      </c>
      <c r="I38" s="271" t="s">
        <v>17</v>
      </c>
      <c r="J38" s="271" t="s">
        <v>17</v>
      </c>
      <c r="K38" s="271" t="s">
        <v>17</v>
      </c>
    </row>
    <row r="39" spans="1:11" ht="14.5" customHeight="1" x14ac:dyDescent="0.35">
      <c r="A39" s="25">
        <v>8</v>
      </c>
      <c r="B39" s="32" t="s">
        <v>87</v>
      </c>
      <c r="C39" s="33">
        <v>40133</v>
      </c>
      <c r="D39" s="25" t="s">
        <v>88</v>
      </c>
      <c r="E39" s="279" t="s">
        <v>72</v>
      </c>
      <c r="F39" s="280"/>
      <c r="G39" s="280"/>
      <c r="H39" s="280"/>
      <c r="I39" s="280"/>
      <c r="J39" s="280"/>
      <c r="K39" s="281"/>
    </row>
    <row r="40" spans="1:11" ht="14.5" customHeight="1" x14ac:dyDescent="0.35">
      <c r="A40" s="25">
        <v>9</v>
      </c>
      <c r="B40" s="32" t="s">
        <v>89</v>
      </c>
      <c r="C40" s="33">
        <v>41069</v>
      </c>
      <c r="D40" s="25" t="s">
        <v>90</v>
      </c>
      <c r="E40" s="279" t="s">
        <v>72</v>
      </c>
      <c r="F40" s="280"/>
      <c r="G40" s="280"/>
      <c r="H40" s="280"/>
      <c r="I40" s="280"/>
      <c r="J40" s="280"/>
      <c r="K40" s="281"/>
    </row>
    <row r="41" spans="1:11" ht="14.5" customHeight="1" x14ac:dyDescent="0.35">
      <c r="A41" s="25">
        <v>10</v>
      </c>
      <c r="B41" s="32" t="s">
        <v>91</v>
      </c>
      <c r="C41" s="33">
        <v>41098</v>
      </c>
      <c r="D41" s="25" t="s">
        <v>92</v>
      </c>
      <c r="E41" s="15">
        <v>59.9</v>
      </c>
      <c r="F41" s="15">
        <v>156</v>
      </c>
      <c r="G41" s="16">
        <f>E41/(F41/100)^2</f>
        <v>24.613740959894802</v>
      </c>
      <c r="H41" s="271" t="s">
        <v>17</v>
      </c>
      <c r="I41" s="273" t="s">
        <v>21</v>
      </c>
      <c r="J41" s="271" t="s">
        <v>17</v>
      </c>
      <c r="K41" s="273" t="s">
        <v>21</v>
      </c>
    </row>
    <row r="42" spans="1:11" ht="14.5" customHeight="1" x14ac:dyDescent="0.35">
      <c r="A42" s="25">
        <v>11</v>
      </c>
      <c r="B42" s="32" t="s">
        <v>93</v>
      </c>
      <c r="C42" s="33">
        <v>39323</v>
      </c>
      <c r="D42" s="25" t="s">
        <v>74</v>
      </c>
      <c r="E42" s="279" t="s">
        <v>72</v>
      </c>
      <c r="F42" s="280"/>
      <c r="G42" s="280"/>
      <c r="H42" s="280"/>
      <c r="I42" s="280"/>
      <c r="J42" s="280"/>
      <c r="K42" s="281"/>
    </row>
    <row r="43" spans="1:11" ht="14.5" customHeight="1" x14ac:dyDescent="0.35">
      <c r="A43" s="25">
        <v>12</v>
      </c>
      <c r="B43" s="32" t="s">
        <v>94</v>
      </c>
      <c r="C43" s="33">
        <v>40364</v>
      </c>
      <c r="D43" s="25" t="s">
        <v>95</v>
      </c>
      <c r="E43" s="15">
        <v>59.2</v>
      </c>
      <c r="F43" s="15">
        <v>163.5</v>
      </c>
      <c r="G43" s="16">
        <f>E43/(F43/100)^2</f>
        <v>22.145535822835715</v>
      </c>
      <c r="H43" s="272" t="s">
        <v>20</v>
      </c>
      <c r="I43" s="271" t="s">
        <v>17</v>
      </c>
      <c r="J43" s="271" t="s">
        <v>17</v>
      </c>
      <c r="K43" s="271" t="s">
        <v>17</v>
      </c>
    </row>
  </sheetData>
  <mergeCells count="12">
    <mergeCell ref="E42:K42"/>
    <mergeCell ref="A1:K1"/>
    <mergeCell ref="A17:K17"/>
    <mergeCell ref="E37:K37"/>
    <mergeCell ref="E39:K39"/>
    <mergeCell ref="H2:I2"/>
    <mergeCell ref="A4:K4"/>
    <mergeCell ref="E40:K40"/>
    <mergeCell ref="J2:K2"/>
    <mergeCell ref="A29:K29"/>
    <mergeCell ref="A2:G2"/>
    <mergeCell ref="E32:K32"/>
  </mergeCells>
  <pageMargins left="0" right="0" top="0" bottom="0" header="0.31496062992125978" footer="0.31496062992125978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INFANTES</vt:lpstr>
      <vt:lpstr>MIGUEL ECHENIQUE</vt:lpstr>
      <vt:lpstr>TOMAS VALLE</vt:lpstr>
      <vt:lpstr>MATOGROSO MUJERES</vt:lpstr>
      <vt:lpstr>MATOGROSO HOMBRES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Stefany</cp:lastModifiedBy>
  <cp:lastPrinted>2026-02-15T12:09:48Z</cp:lastPrinted>
  <dcterms:created xsi:type="dcterms:W3CDTF">2025-08-09T14:13:49Z</dcterms:created>
  <dcterms:modified xsi:type="dcterms:W3CDTF">2026-10-08T04:31:43Z</dcterms:modified>
</cp:coreProperties>
</file>